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5310499B-1C58-43FE-99D8-E3BBBD230938}" xr6:coauthVersionLast="47" xr6:coauthVersionMax="47" xr10:uidLastSave="{00000000-0000-0000-0000-000000000000}"/>
  <bookViews>
    <workbookView xWindow="-108" yWindow="-108" windowWidth="23256" windowHeight="12576" firstSheet="8" activeTab="11" xr2:uid="{00000000-000D-0000-FFFF-FFFF00000000}"/>
  </bookViews>
  <sheets>
    <sheet name="Population by country" sheetId="14" r:id="rId1"/>
    <sheet name="Vaccination rate by country" sheetId="15" r:id="rId2"/>
    <sheet name="Population density by country" sheetId="16" r:id="rId3"/>
    <sheet name="Dataset" sheetId="1" r:id="rId4"/>
    <sheet name="KPI" sheetId="2" r:id="rId5"/>
    <sheet name="COVID Cases Trend" sheetId="4" r:id="rId6"/>
    <sheet name="Vaccination Trend" sheetId="6" r:id="rId7"/>
    <sheet name="Top 10 Countries by Cases" sheetId="8" r:id="rId8"/>
    <sheet name="Top 10 Countries by Deaths" sheetId="9" r:id="rId9"/>
    <sheet name="Recovery vs Deaths" sheetId="10" r:id="rId10"/>
    <sheet name="GDP vs Population" sheetId="11" r:id="rId11"/>
    <sheet name="Dashboard" sheetId="13" r:id="rId12"/>
  </sheets>
  <definedNames>
    <definedName name="_xlchart.v1.0" hidden="1">'Population by country'!$D$4:$D$10</definedName>
    <definedName name="_xlchart.v1.1" hidden="1">'Population by country'!$E$4:$E$10</definedName>
    <definedName name="_xlchart.v1.2" hidden="1">'Population by country'!$D$4:$D$10</definedName>
    <definedName name="_xlchart.v1.3" hidden="1">'Population by country'!$E$4:$E$10</definedName>
    <definedName name="_xlchart.v1.4" hidden="1">'Population by country'!$D$4:$D$10</definedName>
    <definedName name="_xlchart.v1.5" hidden="1">'Population by country'!$E$4:$E$10</definedName>
    <definedName name="_xlchart.v1.6" hidden="1">'Population by country'!$D$4:$D$10</definedName>
    <definedName name="_xlchart.v1.7" hidden="1">'Population by country'!$E$4:$E$10</definedName>
    <definedName name="_xlchart.v1.8" hidden="1">'Population by country'!$D$4:$D$10</definedName>
    <definedName name="_xlchart.v1.9" hidden="1">'Population by country'!$E$4:$E$10</definedName>
    <definedName name="NativeTimeline_Date">#N/A</definedName>
    <definedName name="Slicer_City">#N/A</definedName>
    <definedName name="Slicer_Country">#N/A</definedName>
    <definedName name="Slicer_Median_Age">#N/A</definedName>
    <definedName name="Slicer_State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1" l="1"/>
  <c r="B20" i="11"/>
  <c r="B17" i="11"/>
  <c r="B16" i="11"/>
  <c r="C20" i="11"/>
  <c r="B19" i="11"/>
  <c r="B18" i="11"/>
  <c r="B21" i="11"/>
  <c r="C19" i="11"/>
  <c r="C18" i="11"/>
  <c r="C17" i="11"/>
  <c r="C16" i="11"/>
  <c r="B15" i="11"/>
  <c r="C15" i="11"/>
  <c r="D10" i="2"/>
  <c r="G10" i="2"/>
  <c r="F10" i="2"/>
  <c r="C10" i="2"/>
  <c r="B10" i="2"/>
  <c r="A10" i="2"/>
  <c r="E10" i="2"/>
  <c r="E10" i="14"/>
  <c r="E9" i="14"/>
  <c r="E8" i="14"/>
  <c r="E7" i="14"/>
  <c r="E6" i="14"/>
  <c r="E5" i="14"/>
  <c r="E4" i="14"/>
</calcChain>
</file>

<file path=xl/sharedStrings.xml><?xml version="1.0" encoding="utf-8"?>
<sst xmlns="http://schemas.openxmlformats.org/spreadsheetml/2006/main" count="3142" uniqueCount="65">
  <si>
    <t>Country</t>
  </si>
  <si>
    <t>State_Region</t>
  </si>
  <si>
    <t>City</t>
  </si>
  <si>
    <t>Date</t>
  </si>
  <si>
    <t>Population</t>
  </si>
  <si>
    <t>Population_Density</t>
  </si>
  <si>
    <t>Median_Age</t>
  </si>
  <si>
    <t>GDP_Per_Capita</t>
  </si>
  <si>
    <t>Total_Cases</t>
  </si>
  <si>
    <t>New_Cases</t>
  </si>
  <si>
    <t>Total_Deaths</t>
  </si>
  <si>
    <t>New_Deaths</t>
  </si>
  <si>
    <t>Total_Recovered</t>
  </si>
  <si>
    <t>Active_Cases</t>
  </si>
  <si>
    <t>Critical_Cases</t>
  </si>
  <si>
    <t>Tests_Conducted</t>
  </si>
  <si>
    <t>Positivity_Rate (%)</t>
  </si>
  <si>
    <t>Vaccinated_Population</t>
  </si>
  <si>
    <t>Fully_Vaccinated</t>
  </si>
  <si>
    <t>Booster_Doses</t>
  </si>
  <si>
    <t>Vaccination_Rate (%)</t>
  </si>
  <si>
    <t>Hospital_Beds_Per_1000</t>
  </si>
  <si>
    <t>ICU_Beds</t>
  </si>
  <si>
    <t>Doctors_Per_1000</t>
  </si>
  <si>
    <t>Stringency_Index</t>
  </si>
  <si>
    <t>Italy</t>
  </si>
  <si>
    <t>UK</t>
  </si>
  <si>
    <t>Germany</t>
  </si>
  <si>
    <t>Brazil</t>
  </si>
  <si>
    <t>USA</t>
  </si>
  <si>
    <t>France</t>
  </si>
  <si>
    <t>India</t>
  </si>
  <si>
    <t>California</t>
  </si>
  <si>
    <t>Sao Paulo</t>
  </si>
  <si>
    <t>Maharashtra</t>
  </si>
  <si>
    <t>Bavaria</t>
  </si>
  <si>
    <t>London</t>
  </si>
  <si>
    <t>Los Angeles</t>
  </si>
  <si>
    <t>London City</t>
  </si>
  <si>
    <t>Munich</t>
  </si>
  <si>
    <t>Mumbai</t>
  </si>
  <si>
    <t>Sao Paulo City</t>
  </si>
  <si>
    <t>Sum of Population</t>
  </si>
  <si>
    <t>Sum of Total_Cases</t>
  </si>
  <si>
    <t>Sum of Total_Deaths</t>
  </si>
  <si>
    <t>Sum of Total_Recovered</t>
  </si>
  <si>
    <t>Recovery Rate</t>
  </si>
  <si>
    <t>Sum of Active_Cases</t>
  </si>
  <si>
    <t>Average of Vaccination_Rate (%)</t>
  </si>
  <si>
    <t>Sum of Total Cases</t>
  </si>
  <si>
    <t>Sum of Total Deaths</t>
  </si>
  <si>
    <t>Sum of Total Recovered</t>
  </si>
  <si>
    <t>Sum of Active cases</t>
  </si>
  <si>
    <t>Average of Vaccination Rate</t>
  </si>
  <si>
    <t>Row Labels</t>
  </si>
  <si>
    <t>Grand Total</t>
  </si>
  <si>
    <t>2021</t>
  </si>
  <si>
    <t>2022</t>
  </si>
  <si>
    <t>2023</t>
  </si>
  <si>
    <t>Sum of Vaccinated_Population</t>
  </si>
  <si>
    <t>B</t>
  </si>
  <si>
    <t>M</t>
  </si>
  <si>
    <t>m</t>
  </si>
  <si>
    <t>Average of GDP_Per_Capita</t>
  </si>
  <si>
    <t>Average of Population_Density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</si>
</sst>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
    <numFmt numFmtId="166" formatCode="0.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2" tint="-9.9978637043366805E-2"/>
      <name val="Calibri"/>
      <family val="2"/>
      <scheme val="minor"/>
    </font>
    <font>
      <b/>
      <sz val="11"/>
      <color rgb="FF00B0F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5F7FA"/>
        <bgColor indexed="64"/>
      </patternFill>
    </fill>
  </fills>
  <borders count="3">
    <border>
      <left/>
      <right/>
      <top/>
      <bottom/>
      <diagonal/>
    </border>
    <border>
      <left style="thin">
        <color auto="1"/>
      </left>
      <right style="thin">
        <color auto="1"/>
      </right>
      <top/>
      <bottom style="thin">
        <color auto="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65" fontId="0" fillId="0" borderId="0" xfId="1" applyNumberFormat="1" applyFont="1"/>
    <xf numFmtId="165" fontId="0" fillId="0" borderId="0" xfId="0" applyNumberFormat="1"/>
    <xf numFmtId="166" fontId="0" fillId="0" borderId="0" xfId="0" applyNumberFormat="1"/>
    <xf numFmtId="3" fontId="0" fillId="0" borderId="0" xfId="0" applyNumberFormat="1"/>
    <xf numFmtId="0" fontId="1" fillId="2" borderId="2" xfId="0" applyFont="1" applyFill="1" applyBorder="1" applyAlignment="1">
      <alignment horizontal="left"/>
    </xf>
    <xf numFmtId="0" fontId="3" fillId="3" borderId="0" xfId="0" applyFont="1" applyFill="1"/>
    <xf numFmtId="0" fontId="0" fillId="3" borderId="0" xfId="0" applyFill="1"/>
    <xf numFmtId="0" fontId="4" fillId="3" borderId="0" xfId="0" applyFont="1" applyFill="1"/>
  </cellXfs>
  <cellStyles count="2">
    <cellStyle name="Normal" xfId="0" builtinId="0"/>
    <cellStyle name="Percent" xfId="1" builtinId="5"/>
  </cellStyles>
  <dxfs count="18">
    <dxf>
      <numFmt numFmtId="165" formatCode="0.00,,,"/>
    </dxf>
    <dxf>
      <numFmt numFmtId="3" formatCode="#,##0"/>
    </dxf>
    <dxf>
      <numFmt numFmtId="166" formatCode="0.00,,"/>
    </dxf>
    <dxf>
      <numFmt numFmtId="166" formatCode="0.00,,"/>
    </dxf>
    <dxf>
      <numFmt numFmtId="166" formatCode="0.00,,"/>
    </dxf>
    <dxf>
      <numFmt numFmtId="165" formatCode="0.00,,,"/>
    </dxf>
    <dxf>
      <numFmt numFmtId="166" formatCode="0.00,,"/>
    </dxf>
    <dxf>
      <numFmt numFmtId="166" formatCode="0.00,,"/>
    </dxf>
    <dxf>
      <numFmt numFmtId="166" formatCode="0.00,,"/>
    </dxf>
    <dxf>
      <numFmt numFmtId="166" formatCode="0.00,,"/>
    </dxf>
    <dxf>
      <numFmt numFmtId="166" formatCode="0.00,,"/>
    </dxf>
    <dxf>
      <numFmt numFmtId="165" formatCode="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
      <numFmt numFmtId="165" formatCode="0.00,,,"/>
    </dxf>
  </dxfs>
  <tableStyles count="0" defaultTableStyle="TableStyleMedium9" defaultPivotStyle="PivotStyleLight16"/>
  <colors>
    <mruColors>
      <color rgb="FF009A4D"/>
      <color rgb="FF1E3A5F"/>
      <color rgb="FF16A34A"/>
      <color rgb="FF2563EB"/>
      <color rgb="FFF5F7FA"/>
      <color rgb="FF1D4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Excel.xlsx]Vaccination rate by country!PivotTable2</c:name>
    <c:fmtId val="0"/>
  </c:pivotSource>
  <c:chart>
    <c:title>
      <c:tx>
        <c:rich>
          <a:bodyPr rot="0" spcFirstLastPara="1" vertOverflow="ellipsis" vert="horz" wrap="square" anchor="ctr" anchorCtr="1"/>
          <a:lstStyle/>
          <a:p>
            <a:pPr>
              <a:defRPr sz="1400" b="0" i="0" u="none" strike="noStrike" kern="1200" spc="0" baseline="0">
                <a:ln>
                  <a:solidFill>
                    <a:srgbClr val="1E3A5F"/>
                  </a:solidFill>
                </a:ln>
                <a:solidFill>
                  <a:schemeClr val="tx1">
                    <a:lumMod val="65000"/>
                    <a:lumOff val="35000"/>
                  </a:schemeClr>
                </a:solidFill>
                <a:latin typeface="+mn-lt"/>
                <a:ea typeface="+mn-ea"/>
                <a:cs typeface="+mn-cs"/>
              </a:defRPr>
            </a:pPr>
            <a:r>
              <a:rPr lang="en-US"/>
              <a:t>VACCINATION RATE BY COUNTRY(%)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1E3A5F"/>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009A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'Vaccination rate by country'!$B$3</c:f>
              <c:strCache>
                <c:ptCount val="1"/>
                <c:pt idx="0">
                  <c:v>Total</c:v>
                </c:pt>
              </c:strCache>
            </c:strRef>
          </c:tx>
          <c:spPr>
            <a:solidFill>
              <a:srgbClr val="009A4D"/>
            </a:solidFill>
            <a:ln>
              <a:noFill/>
            </a:ln>
            <a:effectLst/>
          </c:spPr>
          <c:invertIfNegative val="0"/>
          <c:cat>
            <c:strRef>
              <c:f>'Vaccination rate by country'!$A$4:$A$11</c:f>
              <c:strCache>
                <c:ptCount val="7"/>
                <c:pt idx="0">
                  <c:v>Brazil</c:v>
                </c:pt>
                <c:pt idx="1">
                  <c:v>France</c:v>
                </c:pt>
                <c:pt idx="2">
                  <c:v>Germany</c:v>
                </c:pt>
                <c:pt idx="3">
                  <c:v>India</c:v>
                </c:pt>
                <c:pt idx="4">
                  <c:v>Italy</c:v>
                </c:pt>
                <c:pt idx="5">
                  <c:v>UK</c:v>
                </c:pt>
                <c:pt idx="6">
                  <c:v>USA</c:v>
                </c:pt>
              </c:strCache>
            </c:strRef>
          </c:cat>
          <c:val>
            <c:numRef>
              <c:f>'Vaccination rate by country'!$B$4:$B$11</c:f>
              <c:numCache>
                <c:formatCode>General</c:formatCode>
                <c:ptCount val="7"/>
                <c:pt idx="0">
                  <c:v>54.255461538461525</c:v>
                </c:pt>
                <c:pt idx="1">
                  <c:v>54.760370370370374</c:v>
                </c:pt>
                <c:pt idx="2">
                  <c:v>48.37608108108109</c:v>
                </c:pt>
                <c:pt idx="3">
                  <c:v>45.014551282051265</c:v>
                </c:pt>
                <c:pt idx="4">
                  <c:v>51.841956521739128</c:v>
                </c:pt>
                <c:pt idx="5">
                  <c:v>45.340384615384622</c:v>
                </c:pt>
                <c:pt idx="6">
                  <c:v>49.241313868613148</c:v>
                </c:pt>
              </c:numCache>
            </c:numRef>
          </c:val>
          <c:extLst>
            <c:ext xmlns:c16="http://schemas.microsoft.com/office/drawing/2014/chart" uri="{C3380CC4-5D6E-409C-BE32-E72D297353CC}">
              <c16:uniqueId val="{00000000-632B-4120-90AF-10540140D237}"/>
            </c:ext>
          </c:extLst>
        </c:ser>
        <c:dLbls>
          <c:showLegendKey val="0"/>
          <c:showVal val="0"/>
          <c:showCatName val="0"/>
          <c:showSerName val="0"/>
          <c:showPercent val="0"/>
          <c:showBubbleSize val="0"/>
        </c:dLbls>
        <c:gapWidth val="219"/>
        <c:overlap val="-27"/>
        <c:axId val="1377592559"/>
        <c:axId val="1377581519"/>
      </c:barChart>
      <c:catAx>
        <c:axId val="13775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lumMod val="65000"/>
                    <a:lumOff val="35000"/>
                  </a:schemeClr>
                </a:solidFill>
                <a:latin typeface="+mn-lt"/>
                <a:ea typeface="+mn-ea"/>
                <a:cs typeface="+mn-cs"/>
              </a:defRPr>
            </a:pPr>
            <a:endParaRPr lang="en-US"/>
          </a:p>
        </c:txPr>
        <c:crossAx val="1377581519"/>
        <c:crosses val="autoZero"/>
        <c:auto val="1"/>
        <c:lblAlgn val="ctr"/>
        <c:lblOffset val="100"/>
        <c:noMultiLvlLbl val="0"/>
      </c:catAx>
      <c:valAx>
        <c:axId val="137758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lumMod val="65000"/>
                    <a:lumOff val="35000"/>
                  </a:schemeClr>
                </a:solidFill>
                <a:latin typeface="+mn-lt"/>
                <a:ea typeface="+mn-ea"/>
                <a:cs typeface="+mn-cs"/>
              </a:defRPr>
            </a:pPr>
            <a:endParaRPr lang="en-US"/>
          </a:p>
        </c:txPr>
        <c:crossAx val="13775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rgbClr val="1E3A5F"/>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Excel.xlsx]Population density by country!PivotTable3</c:name>
    <c:fmtId val="1"/>
  </c:pivotSource>
  <c:chart>
    <c:title>
      <c:tx>
        <c:rich>
          <a:bodyPr rot="0" spcFirstLastPara="1" vertOverflow="ellipsis" vert="horz" wrap="square" anchor="ctr" anchorCtr="1"/>
          <a:lstStyle/>
          <a:p>
            <a:pPr>
              <a:defRPr sz="1400" b="0" i="0" u="none" strike="noStrike" kern="1200" spc="0" baseline="0">
                <a:ln>
                  <a:solidFill>
                    <a:srgbClr val="1E3A5F"/>
                  </a:solidFill>
                </a:ln>
                <a:solidFill>
                  <a:schemeClr val="tx1"/>
                </a:solidFill>
                <a:latin typeface="+mn-lt"/>
                <a:ea typeface="+mn-ea"/>
                <a:cs typeface="+mn-cs"/>
              </a:defRPr>
            </a:pPr>
            <a:r>
              <a:rPr lang="en-US"/>
              <a:t>POPULATION DENSITY BY COUNTRY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1E3A5F"/>
                </a:solidFill>
              </a:ln>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'Population density by country'!$B$3</c:f>
              <c:strCache>
                <c:ptCount val="1"/>
                <c:pt idx="0">
                  <c:v>Total</c:v>
                </c:pt>
              </c:strCache>
            </c:strRef>
          </c:tx>
          <c:spPr>
            <a:solidFill>
              <a:srgbClr val="7030A0"/>
            </a:solidFill>
            <a:ln>
              <a:noFill/>
            </a:ln>
            <a:effectLst/>
          </c:spPr>
          <c:invertIfNegative val="0"/>
          <c:cat>
            <c:strRef>
              <c:f>'Population density by country'!$A$4:$A$11</c:f>
              <c:strCache>
                <c:ptCount val="7"/>
                <c:pt idx="0">
                  <c:v>Brazil</c:v>
                </c:pt>
                <c:pt idx="1">
                  <c:v>France</c:v>
                </c:pt>
                <c:pt idx="2">
                  <c:v>Germany</c:v>
                </c:pt>
                <c:pt idx="3">
                  <c:v>India</c:v>
                </c:pt>
                <c:pt idx="4">
                  <c:v>Italy</c:v>
                </c:pt>
                <c:pt idx="5">
                  <c:v>UK</c:v>
                </c:pt>
                <c:pt idx="6">
                  <c:v>USA</c:v>
                </c:pt>
              </c:strCache>
            </c:strRef>
          </c:cat>
          <c:val>
            <c:numRef>
              <c:f>'Population density by country'!$B$4:$B$11</c:f>
              <c:numCache>
                <c:formatCode>#,##0</c:formatCode>
                <c:ptCount val="7"/>
                <c:pt idx="0">
                  <c:v>9612.6615384615379</c:v>
                </c:pt>
                <c:pt idx="1">
                  <c:v>10435.896296296296</c:v>
                </c:pt>
                <c:pt idx="2">
                  <c:v>10057.04054054054</c:v>
                </c:pt>
                <c:pt idx="3">
                  <c:v>9683.1025641025644</c:v>
                </c:pt>
                <c:pt idx="4">
                  <c:v>10929.63768115942</c:v>
                </c:pt>
                <c:pt idx="5">
                  <c:v>10144.974358974359</c:v>
                </c:pt>
                <c:pt idx="6">
                  <c:v>9739.6788321167878</c:v>
                </c:pt>
              </c:numCache>
            </c:numRef>
          </c:val>
          <c:extLst>
            <c:ext xmlns:c16="http://schemas.microsoft.com/office/drawing/2014/chart" uri="{C3380CC4-5D6E-409C-BE32-E72D297353CC}">
              <c16:uniqueId val="{00000000-8020-45EF-80FE-F54D5808662A}"/>
            </c:ext>
          </c:extLst>
        </c:ser>
        <c:dLbls>
          <c:showLegendKey val="0"/>
          <c:showVal val="0"/>
          <c:showCatName val="0"/>
          <c:showSerName val="0"/>
          <c:showPercent val="0"/>
          <c:showBubbleSize val="0"/>
        </c:dLbls>
        <c:gapWidth val="182"/>
        <c:axId val="1425619455"/>
        <c:axId val="1425599295"/>
      </c:barChart>
      <c:catAx>
        <c:axId val="14256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solidFill>
                <a:latin typeface="+mn-lt"/>
                <a:ea typeface="+mn-ea"/>
                <a:cs typeface="+mn-cs"/>
              </a:defRPr>
            </a:pPr>
            <a:endParaRPr lang="en-US"/>
          </a:p>
        </c:txPr>
        <c:crossAx val="1425599295"/>
        <c:crosses val="autoZero"/>
        <c:auto val="1"/>
        <c:lblAlgn val="ctr"/>
        <c:lblOffset val="100"/>
        <c:noMultiLvlLbl val="0"/>
      </c:catAx>
      <c:valAx>
        <c:axId val="14255992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solidFill>
                <a:latin typeface="+mn-lt"/>
                <a:ea typeface="+mn-ea"/>
                <a:cs typeface="+mn-cs"/>
              </a:defRPr>
            </a:pPr>
            <a:endParaRPr lang="en-US"/>
          </a:p>
        </c:txPr>
        <c:crossAx val="14256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rgbClr val="1E3A5F"/>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Excel.xlsx]COVID Cases Trend!COVID Cases Trend</c:name>
    <c:fmtId val="0"/>
  </c:pivotSource>
  <c:chart>
    <c:autoTitleDeleted val="1"/>
    <c:pivotFmts>
      <c:pivotFmt>
        <c:idx val="0"/>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'COVID Cases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'COVID Cases Trend'!$A$4:$A$7</c:f>
              <c:strCache>
                <c:ptCount val="3"/>
                <c:pt idx="0">
                  <c:v>2021</c:v>
                </c:pt>
                <c:pt idx="1">
                  <c:v>2022</c:v>
                </c:pt>
                <c:pt idx="2">
                  <c:v>2023</c:v>
                </c:pt>
              </c:strCache>
            </c:strRef>
          </c:cat>
          <c:val>
            <c:numRef>
              <c:f>'COVID Cases Trend'!$B$4:$B$7</c:f>
              <c:numCache>
                <c:formatCode>0.00,,</c:formatCode>
                <c:ptCount val="3"/>
                <c:pt idx="0">
                  <c:v>185548198</c:v>
                </c:pt>
                <c:pt idx="1">
                  <c:v>186854863</c:v>
                </c:pt>
                <c:pt idx="2">
                  <c:v>137323653</c:v>
                </c:pt>
              </c:numCache>
            </c:numRef>
          </c:val>
          <c:smooth val="0"/>
          <c:extLst>
            <c:ext xmlns:c16="http://schemas.microsoft.com/office/drawing/2014/chart" uri="{C3380CC4-5D6E-409C-BE32-E72D297353CC}">
              <c16:uniqueId val="{00000002-AE56-4484-B6CE-C1E28767D12F}"/>
            </c:ext>
          </c:extLst>
        </c:ser>
        <c:dLbls>
          <c:showLegendKey val="0"/>
          <c:showVal val="1"/>
          <c:showCatName val="0"/>
          <c:showSerName val="0"/>
          <c:showPercent val="0"/>
          <c:showBubbleSize val="0"/>
        </c:dLbls>
        <c:smooth val="0"/>
        <c:axId val="1538173600"/>
        <c:axId val="1538174080"/>
      </c:lineChart>
      <c:catAx>
        <c:axId val="1538173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crossAx val="1538174080"/>
        <c:crosses val="autoZero"/>
        <c:auto val="1"/>
        <c:lblAlgn val="ctr"/>
        <c:lblOffset val="100"/>
        <c:noMultiLvlLbl val="0"/>
      </c:catAx>
      <c:valAx>
        <c:axId val="15381740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crossAx val="15381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2"/>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Excel.xlsx]Vaccination Trend!PivotTable3</c:name>
    <c:fmtId val="0"/>
  </c:pivotSource>
  <c:chart>
    <c:autoTitleDeleted val="1"/>
    <c:pivotFmts>
      <c:pivotFmt>
        <c:idx val="0"/>
        <c:spPr>
          <a:solidFill>
            <a:srgbClr val="16A34A">
              <a:alpha val="6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'Vaccination Trend'!$B$3</c:f>
              <c:strCache>
                <c:ptCount val="1"/>
                <c:pt idx="0">
                  <c:v>Total</c:v>
                </c:pt>
              </c:strCache>
            </c:strRef>
          </c:tx>
          <c:spPr>
            <a:solidFill>
              <a:srgbClr val="16A34A">
                <a:alpha val="60000"/>
              </a:srgbClr>
            </a:solidFill>
            <a:ln>
              <a:noFill/>
            </a:ln>
            <a:effectLst/>
          </c:spPr>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'Vaccination Trend'!$A$4:$A$7</c:f>
              <c:strCache>
                <c:ptCount val="3"/>
                <c:pt idx="0">
                  <c:v>2021</c:v>
                </c:pt>
                <c:pt idx="1">
                  <c:v>2022</c:v>
                </c:pt>
                <c:pt idx="2">
                  <c:v>2023</c:v>
                </c:pt>
              </c:strCache>
            </c:strRef>
          </c:cat>
          <c:val>
            <c:numRef>
              <c:f>'Vaccination Trend'!$B$4:$B$7</c:f>
              <c:numCache>
                <c:formatCode>0.00,,,</c:formatCode>
                <c:ptCount val="3"/>
                <c:pt idx="0">
                  <c:v>9567490074</c:v>
                </c:pt>
                <c:pt idx="1">
                  <c:v>9653859329</c:v>
                </c:pt>
                <c:pt idx="2">
                  <c:v>6746138708</c:v>
                </c:pt>
              </c:numCache>
            </c:numRef>
          </c:val>
          <c:extLst>
            <c:ext xmlns:c16="http://schemas.microsoft.com/office/drawing/2014/chart" uri="{C3380CC4-5D6E-409C-BE32-E72D297353CC}">
              <c16:uniqueId val="{00000000-CF99-4A16-AC8A-1DBF463DC2BF}"/>
            </c:ext>
          </c:extLst>
        </c:ser>
        <c:dLbls>
          <c:showLegendKey val="0"/>
          <c:showVal val="1"/>
          <c:showCatName val="0"/>
          <c:showSerName val="0"/>
          <c:showPercent val="0"/>
          <c:showBubbleSize val="0"/>
        </c:dLbls>
        <c:axId val="812761376"/>
        <c:axId val="812763296"/>
      </c:areaChart>
      <c:catAx>
        <c:axId val="81276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812763296"/>
        <c:crosses val="autoZero"/>
        <c:auto val="1"/>
        <c:lblAlgn val="ctr"/>
        <c:lblOffset val="100"/>
        <c:noMultiLvlLbl val="0"/>
      </c:catAx>
      <c:valAx>
        <c:axId val="8127632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812761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Excel.xlsx]Top 10 Countries by Cases!PivotTable4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 by Cases'!$B$3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Countries by Cases'!$A$4:$A$11</c:f>
              <c:strCache>
                <c:ptCount val="7"/>
                <c:pt idx="0">
                  <c:v>Brazil</c:v>
                </c:pt>
                <c:pt idx="1">
                  <c:v>France</c:v>
                </c:pt>
                <c:pt idx="2">
                  <c:v>Germany</c:v>
                </c:pt>
                <c:pt idx="3">
                  <c:v>India</c:v>
                </c:pt>
                <c:pt idx="4">
                  <c:v>Italy</c:v>
                </c:pt>
                <c:pt idx="5">
                  <c:v>UK</c:v>
                </c:pt>
                <c:pt idx="6">
                  <c:v>USA</c:v>
                </c:pt>
              </c:strCache>
            </c:strRef>
          </c:cat>
          <c:val>
            <c:numRef>
              <c:f>'Top 10 Countries by Cases'!$B$4:$B$11</c:f>
              <c:numCache>
                <c:formatCode>0.00,,</c:formatCode>
                <c:ptCount val="7"/>
                <c:pt idx="0">
                  <c:v>69428982</c:v>
                </c:pt>
                <c:pt idx="1">
                  <c:v>66828491</c:v>
                </c:pt>
                <c:pt idx="2">
                  <c:v>71277946</c:v>
                </c:pt>
                <c:pt idx="3">
                  <c:v>74706676</c:v>
                </c:pt>
                <c:pt idx="4">
                  <c:v>72979841</c:v>
                </c:pt>
                <c:pt idx="5">
                  <c:v>83272676</c:v>
                </c:pt>
                <c:pt idx="6">
                  <c:v>71232102</c:v>
                </c:pt>
              </c:numCache>
            </c:numRef>
          </c:val>
          <c:extLst>
            <c:ext xmlns:c16="http://schemas.microsoft.com/office/drawing/2014/chart" uri="{C3380CC4-5D6E-409C-BE32-E72D297353CC}">
              <c16:uniqueId val="{00000000-542A-4B2E-9668-546078E1A858}"/>
            </c:ext>
          </c:extLst>
        </c:ser>
        <c:dLbls>
          <c:showLegendKey val="0"/>
          <c:showVal val="1"/>
          <c:showCatName val="0"/>
          <c:showSerName val="0"/>
          <c:showPercent val="0"/>
          <c:showBubbleSize val="0"/>
        </c:dLbls>
        <c:gapWidth val="182"/>
        <c:axId val="754840176"/>
        <c:axId val="754844496"/>
      </c:barChart>
      <c:catAx>
        <c:axId val="75484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54844496"/>
        <c:crosses val="autoZero"/>
        <c:auto val="1"/>
        <c:lblAlgn val="ctr"/>
        <c:lblOffset val="100"/>
        <c:noMultiLvlLbl val="0"/>
      </c:catAx>
      <c:valAx>
        <c:axId val="7548444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5484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Excel.xlsx]Top 10 Countries by Deaths!PivotTable5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Countries by Deaths'!$B$3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Countries by Deaths'!$A$4:$A$11</c:f>
              <c:strCache>
                <c:ptCount val="7"/>
                <c:pt idx="0">
                  <c:v>Brazil</c:v>
                </c:pt>
                <c:pt idx="1">
                  <c:v>France</c:v>
                </c:pt>
                <c:pt idx="2">
                  <c:v>Germany</c:v>
                </c:pt>
                <c:pt idx="3">
                  <c:v>India</c:v>
                </c:pt>
                <c:pt idx="4">
                  <c:v>Italy</c:v>
                </c:pt>
                <c:pt idx="5">
                  <c:v>UK</c:v>
                </c:pt>
                <c:pt idx="6">
                  <c:v>USA</c:v>
                </c:pt>
              </c:strCache>
            </c:strRef>
          </c:cat>
          <c:val>
            <c:numRef>
              <c:f>'Top 10 Countries by Deaths'!$B$4:$B$11</c:f>
              <c:numCache>
                <c:formatCode>0.00,,</c:formatCode>
                <c:ptCount val="7"/>
                <c:pt idx="0">
                  <c:v>3079766</c:v>
                </c:pt>
                <c:pt idx="1">
                  <c:v>3156550</c:v>
                </c:pt>
                <c:pt idx="2">
                  <c:v>3486931</c:v>
                </c:pt>
                <c:pt idx="3">
                  <c:v>3593138</c:v>
                </c:pt>
                <c:pt idx="4">
                  <c:v>3521119</c:v>
                </c:pt>
                <c:pt idx="5">
                  <c:v>3761242</c:v>
                </c:pt>
                <c:pt idx="6">
                  <c:v>3538026</c:v>
                </c:pt>
              </c:numCache>
            </c:numRef>
          </c:val>
          <c:extLst>
            <c:ext xmlns:c16="http://schemas.microsoft.com/office/drawing/2014/chart" uri="{C3380CC4-5D6E-409C-BE32-E72D297353CC}">
              <c16:uniqueId val="{00000000-B0AF-4DE8-B859-1C01BE618039}"/>
            </c:ext>
          </c:extLst>
        </c:ser>
        <c:dLbls>
          <c:showLegendKey val="0"/>
          <c:showVal val="1"/>
          <c:showCatName val="0"/>
          <c:showSerName val="0"/>
          <c:showPercent val="0"/>
          <c:showBubbleSize val="0"/>
        </c:dLbls>
        <c:gapWidth val="219"/>
        <c:overlap val="-27"/>
        <c:axId val="1750543552"/>
        <c:axId val="1750544992"/>
      </c:barChart>
      <c:catAx>
        <c:axId val="17505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750544992"/>
        <c:crosses val="autoZero"/>
        <c:auto val="1"/>
        <c:lblAlgn val="ctr"/>
        <c:lblOffset val="100"/>
        <c:noMultiLvlLbl val="0"/>
      </c:catAx>
      <c:valAx>
        <c:axId val="1750544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75054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Excel.xlsx]Recovery vs Deaths!PivotTable6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'Recovery vs Deaths'!$A$3</c:f>
              <c:strCache>
                <c:ptCount val="1"/>
                <c:pt idx="0">
                  <c:v>Sum of Total_Recovered</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'Recovery vs Deaths'!$A$4</c:f>
              <c:strCache>
                <c:ptCount val="1"/>
                <c:pt idx="0">
                  <c:v>Total</c:v>
                </c:pt>
              </c:strCache>
            </c:strRef>
          </c:cat>
          <c:val>
            <c:numRef>
              <c:f>'Recovery vs Deaths'!$A$4</c:f>
              <c:numCache>
                <c:formatCode>0.00,,</c:formatCode>
                <c:ptCount val="1"/>
                <c:pt idx="0">
                  <c:v>447434709</c:v>
                </c:pt>
              </c:numCache>
            </c:numRef>
          </c:val>
          <c:extLst>
            <c:ext xmlns:c16="http://schemas.microsoft.com/office/drawing/2014/chart" uri="{C3380CC4-5D6E-409C-BE32-E72D297353CC}">
              <c16:uniqueId val="{00000000-E912-46EF-8D59-7C1954B8BE18}"/>
            </c:ext>
          </c:extLst>
        </c:ser>
        <c:ser>
          <c:idx val="1"/>
          <c:order val="1"/>
          <c:tx>
            <c:strRef>
              <c:f>'Recovery vs Deaths'!$B$3</c:f>
              <c:strCache>
                <c:ptCount val="1"/>
                <c:pt idx="0">
                  <c:v>Sum of Total_Deaths</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'Recovery vs Deaths'!$A$4</c:f>
              <c:strCache>
                <c:ptCount val="1"/>
                <c:pt idx="0">
                  <c:v>Total</c:v>
                </c:pt>
              </c:strCache>
            </c:strRef>
          </c:cat>
          <c:val>
            <c:numRef>
              <c:f>'Recovery vs Deaths'!$B$4</c:f>
              <c:numCache>
                <c:formatCode>0.00,,</c:formatCode>
                <c:ptCount val="1"/>
                <c:pt idx="0">
                  <c:v>24136772</c:v>
                </c:pt>
              </c:numCache>
            </c:numRef>
          </c:val>
          <c:extLst>
            <c:ext xmlns:c16="http://schemas.microsoft.com/office/drawing/2014/chart" uri="{C3380CC4-5D6E-409C-BE32-E72D297353CC}">
              <c16:uniqueId val="{00000001-E912-46EF-8D59-7C1954B8BE18}"/>
            </c:ext>
          </c:extLst>
        </c:ser>
        <c:dLbls>
          <c:showLegendKey val="0"/>
          <c:showVal val="1"/>
          <c:showCatName val="0"/>
          <c:showSerName val="0"/>
          <c:showPercent val="0"/>
          <c:showBubbleSize val="0"/>
        </c:dLbls>
        <c:gapWidth val="150"/>
        <c:shape val="box"/>
        <c:axId val="888327088"/>
        <c:axId val="888324208"/>
        <c:axId val="1050331600"/>
      </c:bar3DChart>
      <c:catAx>
        <c:axId val="888327088"/>
        <c:scaling>
          <c:orientation val="minMax"/>
        </c:scaling>
        <c:delete val="1"/>
        <c:axPos val="b"/>
        <c:numFmt formatCode="General" sourceLinked="1"/>
        <c:majorTickMark val="none"/>
        <c:minorTickMark val="none"/>
        <c:tickLblPos val="nextTo"/>
        <c:crossAx val="888324208"/>
        <c:crosses val="autoZero"/>
        <c:auto val="1"/>
        <c:lblAlgn val="ctr"/>
        <c:lblOffset val="100"/>
        <c:noMultiLvlLbl val="0"/>
      </c:catAx>
      <c:valAx>
        <c:axId val="88832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888327088"/>
        <c:crosses val="autoZero"/>
        <c:crossBetween val="between"/>
      </c:valAx>
      <c:serAx>
        <c:axId val="1050331600"/>
        <c:scaling>
          <c:orientation val="minMax"/>
        </c:scaling>
        <c:delete val="1"/>
        <c:axPos val="b"/>
        <c:majorTickMark val="none"/>
        <c:minorTickMark val="none"/>
        <c:tickLblPos val="nextTo"/>
        <c:crossAx val="8883242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'GDP vs Population'!$B$14</c:f>
              <c:strCache>
                <c:ptCount val="1"/>
                <c:pt idx="0">
                  <c:v>Average of GDP_Per_Capita</c:v>
                </c:pt>
              </c:strCache>
            </c:strRef>
          </c:tx>
          <c:spPr>
            <a:ln w="28575" cap="rnd">
              <a:noFill/>
              <a:round/>
            </a:ln>
            <a:effectLst/>
          </c:spPr>
          <c:marker>
            <c:symbol val="circle"/>
            <c:size val="5"/>
            <c:spPr>
              <a:solidFill>
                <a:schemeClr val="accent1"/>
              </a:solidFill>
              <a:ln w="9525">
                <a:solidFill>
                  <a:schemeClr val="accent1"/>
                </a:solidFill>
              </a:ln>
              <a:effectLst/>
            </c:spPr>
          </c:marker>
          <c:xVal>
            <c:strRef>
              <c:f>'GDP vs Population'!$A$15:$A$21</c:f>
              <c:strCache>
                <c:ptCount val="7"/>
                <c:pt idx="0">
                  <c:v>Brazil</c:v>
                </c:pt>
                <c:pt idx="1">
                  <c:v>France</c:v>
                </c:pt>
                <c:pt idx="2">
                  <c:v>Germany</c:v>
                </c:pt>
                <c:pt idx="3">
                  <c:v>India</c:v>
                </c:pt>
                <c:pt idx="4">
                  <c:v>Italy</c:v>
                </c:pt>
                <c:pt idx="5">
                  <c:v>UK</c:v>
                </c:pt>
                <c:pt idx="6">
                  <c:v>USA</c:v>
                </c:pt>
              </c:strCache>
            </c:strRef>
          </c:xVal>
          <c:yVal>
            <c:numRef>
              <c:f>'GDP vs Population'!$B$15:$B$21</c:f>
              <c:numCache>
                <c:formatCode>#,##0</c:formatCode>
                <c:ptCount val="7"/>
                <c:pt idx="0">
                  <c:v>34473.338461538464</c:v>
                </c:pt>
                <c:pt idx="1">
                  <c:v>32661.237037037037</c:v>
                </c:pt>
                <c:pt idx="2">
                  <c:v>31687.97972972973</c:v>
                </c:pt>
                <c:pt idx="3">
                  <c:v>34352.038461538461</c:v>
                </c:pt>
                <c:pt idx="4">
                  <c:v>36275.159420289856</c:v>
                </c:pt>
                <c:pt idx="5">
                  <c:v>35500.019230769234</c:v>
                </c:pt>
                <c:pt idx="6">
                  <c:v>39074.664233576645</c:v>
                </c:pt>
              </c:numCache>
            </c:numRef>
          </c:yVal>
          <c:smooth val="0"/>
          <c:extLst>
            <c:ext xmlns:c16="http://schemas.microsoft.com/office/drawing/2014/chart" uri="{C3380CC4-5D6E-409C-BE32-E72D297353CC}">
              <c16:uniqueId val="{00000000-D384-42B0-9C3F-CB518C32B7E6}"/>
            </c:ext>
          </c:extLst>
        </c:ser>
        <c:ser>
          <c:idx val="1"/>
          <c:order val="1"/>
          <c:tx>
            <c:strRef>
              <c:f>'GDP vs Population'!$C$14</c:f>
              <c:strCache>
                <c:ptCount val="1"/>
                <c:pt idx="0">
                  <c:v>Sum of Population</c:v>
                </c:pt>
              </c:strCache>
            </c:strRef>
          </c:tx>
          <c:spPr>
            <a:ln w="28575" cap="rnd">
              <a:noFill/>
              <a:round/>
            </a:ln>
            <a:effectLst/>
          </c:spPr>
          <c:marker>
            <c:symbol val="circle"/>
            <c:size val="5"/>
            <c:spPr>
              <a:solidFill>
                <a:schemeClr val="accent2"/>
              </a:solidFill>
              <a:ln w="9525">
                <a:solidFill>
                  <a:schemeClr val="accent2"/>
                </a:solidFill>
              </a:ln>
              <a:effectLst/>
            </c:spPr>
          </c:marker>
          <c:xVal>
            <c:strRef>
              <c:f>'GDP vs Population'!$A$15:$A$21</c:f>
              <c:strCache>
                <c:ptCount val="7"/>
                <c:pt idx="0">
                  <c:v>Brazil</c:v>
                </c:pt>
                <c:pt idx="1">
                  <c:v>France</c:v>
                </c:pt>
                <c:pt idx="2">
                  <c:v>Germany</c:v>
                </c:pt>
                <c:pt idx="3">
                  <c:v>India</c:v>
                </c:pt>
                <c:pt idx="4">
                  <c:v>Italy</c:v>
                </c:pt>
                <c:pt idx="5">
                  <c:v>UK</c:v>
                </c:pt>
                <c:pt idx="6">
                  <c:v>USA</c:v>
                </c:pt>
              </c:strCache>
            </c:strRef>
          </c:xVal>
          <c:yVal>
            <c:numRef>
              <c:f>'GDP vs Population'!$C$15:$C$21</c:f>
              <c:numCache>
                <c:formatCode>0.00,,,</c:formatCode>
                <c:ptCount val="7"/>
                <c:pt idx="0">
                  <c:v>3448571892</c:v>
                </c:pt>
                <c:pt idx="1">
                  <c:v>3601053624</c:v>
                </c:pt>
                <c:pt idx="2">
                  <c:v>3627068601</c:v>
                </c:pt>
                <c:pt idx="3">
                  <c:v>3943176894</c:v>
                </c:pt>
                <c:pt idx="4">
                  <c:v>3973264681</c:v>
                </c:pt>
                <c:pt idx="5">
                  <c:v>3772454740</c:v>
                </c:pt>
                <c:pt idx="6">
                  <c:v>3649535615</c:v>
                </c:pt>
              </c:numCache>
            </c:numRef>
          </c:yVal>
          <c:smooth val="0"/>
          <c:extLst>
            <c:ext xmlns:c16="http://schemas.microsoft.com/office/drawing/2014/chart" uri="{C3380CC4-5D6E-409C-BE32-E72D297353CC}">
              <c16:uniqueId val="{00000001-D384-42B0-9C3F-CB518C32B7E6}"/>
            </c:ext>
          </c:extLst>
        </c:ser>
        <c:dLbls>
          <c:showLegendKey val="0"/>
          <c:showVal val="0"/>
          <c:showCatName val="0"/>
          <c:showSerName val="0"/>
          <c:showPercent val="0"/>
          <c:showBubbleSize val="0"/>
        </c:dLbls>
        <c:axId val="1042854800"/>
        <c:axId val="1042857680"/>
      </c:scatterChart>
      <c:valAx>
        <c:axId val="1042854800"/>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1042857680"/>
        <c:crosses val="autoZero"/>
        <c:crossBetween val="midCat"/>
      </c:valAx>
      <c:valAx>
        <c:axId val="104285768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10428548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alpha val="69000"/>
              </a:schemeClr>
            </a:solidFill>
          </a:ln>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Excel.xlsx]Top 10 Countries by Deaths!PivotTable5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4624012805574"/>
          <c:y val="0.35087719298245612"/>
          <c:w val="0.89611683909466477"/>
          <c:h val="0.36190219643597188"/>
        </c:manualLayout>
      </c:layout>
      <c:barChart>
        <c:barDir val="col"/>
        <c:grouping val="clustered"/>
        <c:varyColors val="0"/>
        <c:ser>
          <c:idx val="0"/>
          <c:order val="0"/>
          <c:tx>
            <c:strRef>
              <c:f>'Top 10 Countries by Deaths'!$B$3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Countries by Deaths'!$A$4:$A$11</c:f>
              <c:strCache>
                <c:ptCount val="7"/>
                <c:pt idx="0">
                  <c:v>Brazil</c:v>
                </c:pt>
                <c:pt idx="1">
                  <c:v>France</c:v>
                </c:pt>
                <c:pt idx="2">
                  <c:v>Germany</c:v>
                </c:pt>
                <c:pt idx="3">
                  <c:v>India</c:v>
                </c:pt>
                <c:pt idx="4">
                  <c:v>Italy</c:v>
                </c:pt>
                <c:pt idx="5">
                  <c:v>UK</c:v>
                </c:pt>
                <c:pt idx="6">
                  <c:v>USA</c:v>
                </c:pt>
              </c:strCache>
            </c:strRef>
          </c:cat>
          <c:val>
            <c:numRef>
              <c:f>'Top 10 Countries by Deaths'!$B$4:$B$11</c:f>
              <c:numCache>
                <c:formatCode>0.00,,</c:formatCode>
                <c:ptCount val="7"/>
                <c:pt idx="0">
                  <c:v>3079766</c:v>
                </c:pt>
                <c:pt idx="1">
                  <c:v>3156550</c:v>
                </c:pt>
                <c:pt idx="2">
                  <c:v>3486931</c:v>
                </c:pt>
                <c:pt idx="3">
                  <c:v>3593138</c:v>
                </c:pt>
                <c:pt idx="4">
                  <c:v>3521119</c:v>
                </c:pt>
                <c:pt idx="5">
                  <c:v>3761242</c:v>
                </c:pt>
                <c:pt idx="6">
                  <c:v>3538026</c:v>
                </c:pt>
              </c:numCache>
            </c:numRef>
          </c:val>
          <c:extLst>
            <c:ext xmlns:c16="http://schemas.microsoft.com/office/drawing/2014/chart" uri="{C3380CC4-5D6E-409C-BE32-E72D297353CC}">
              <c16:uniqueId val="{00000000-8471-432C-855B-80B7DEFCF327}"/>
            </c:ext>
          </c:extLst>
        </c:ser>
        <c:dLbls>
          <c:showLegendKey val="0"/>
          <c:showVal val="1"/>
          <c:showCatName val="0"/>
          <c:showSerName val="0"/>
          <c:showPercent val="0"/>
          <c:showBubbleSize val="0"/>
        </c:dLbls>
        <c:gapWidth val="219"/>
        <c:overlap val="-27"/>
        <c:axId val="1750543552"/>
        <c:axId val="1750544992"/>
      </c:barChart>
      <c:catAx>
        <c:axId val="17505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750544992"/>
        <c:crosses val="autoZero"/>
        <c:auto val="1"/>
        <c:lblAlgn val="ctr"/>
        <c:lblOffset val="100"/>
        <c:noMultiLvlLbl val="0"/>
      </c:catAx>
      <c:valAx>
        <c:axId val="1750544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75054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Excel.xlsx]COVID Cases Trend!COVID Cases Trend</c:name>
    <c:fmtId val="4"/>
  </c:pivotSource>
  <c:chart>
    <c:autoTitleDeleted val="1"/>
    <c:pivotFmts>
      <c:pivotFmt>
        <c:idx val="0"/>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1686525909925"/>
          <c:y val="0.25252525252525254"/>
          <c:w val="0.76430997839871784"/>
          <c:h val="0.60102103714308441"/>
        </c:manualLayout>
      </c:layout>
      <c:lineChart>
        <c:grouping val="standard"/>
        <c:varyColors val="0"/>
        <c:ser>
          <c:idx val="0"/>
          <c:order val="0"/>
          <c:tx>
            <c:strRef>
              <c:f>'COVID Cases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effectLst/>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'COVID Cases Trend'!$A$4:$A$7</c:f>
              <c:strCache>
                <c:ptCount val="3"/>
                <c:pt idx="0">
                  <c:v>2021</c:v>
                </c:pt>
                <c:pt idx="1">
                  <c:v>2022</c:v>
                </c:pt>
                <c:pt idx="2">
                  <c:v>2023</c:v>
                </c:pt>
              </c:strCache>
            </c:strRef>
          </c:cat>
          <c:val>
            <c:numRef>
              <c:f>'COVID Cases Trend'!$B$4:$B$7</c:f>
              <c:numCache>
                <c:formatCode>0.00,,</c:formatCode>
                <c:ptCount val="3"/>
                <c:pt idx="0">
                  <c:v>185548198</c:v>
                </c:pt>
                <c:pt idx="1">
                  <c:v>186854863</c:v>
                </c:pt>
                <c:pt idx="2">
                  <c:v>137323653</c:v>
                </c:pt>
              </c:numCache>
            </c:numRef>
          </c:val>
          <c:smooth val="0"/>
          <c:extLst>
            <c:ext xmlns:c16="http://schemas.microsoft.com/office/drawing/2014/chart" uri="{C3380CC4-5D6E-409C-BE32-E72D297353CC}">
              <c16:uniqueId val="{00000000-EEC6-4FE7-B458-1925A9507A25}"/>
            </c:ext>
          </c:extLst>
        </c:ser>
        <c:dLbls>
          <c:showLegendKey val="0"/>
          <c:showVal val="1"/>
          <c:showCatName val="0"/>
          <c:showSerName val="0"/>
          <c:showPercent val="0"/>
          <c:showBubbleSize val="0"/>
        </c:dLbls>
        <c:smooth val="0"/>
        <c:axId val="1538173600"/>
        <c:axId val="1538174080"/>
      </c:lineChart>
      <c:catAx>
        <c:axId val="1538173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crossAx val="1538174080"/>
        <c:crosses val="autoZero"/>
        <c:auto val="1"/>
        <c:lblAlgn val="ctr"/>
        <c:lblOffset val="100"/>
        <c:noMultiLvlLbl val="0"/>
      </c:catAx>
      <c:valAx>
        <c:axId val="1538174080"/>
        <c:scaling>
          <c:orientation val="minMax"/>
        </c:scaling>
        <c:delete val="0"/>
        <c:axPos val="l"/>
        <c:title>
          <c:tx>
            <c:rich>
              <a:bodyPr rot="-5400000" spcFirstLastPara="1" vertOverflow="ellipsis" vert="horz" wrap="square" anchor="ctr" anchorCtr="1"/>
              <a:lstStyle/>
              <a:p>
                <a:pPr>
                  <a:defRPr sz="1000" b="0" i="0" u="none" strike="noStrike" kern="1200" baseline="0">
                    <a:ln>
                      <a:solidFill>
                        <a:schemeClr val="tx1"/>
                      </a:solidFill>
                    </a:ln>
                    <a:solidFill>
                      <a:schemeClr val="tx2"/>
                    </a:solidFill>
                    <a:effectLst/>
                    <a:latin typeface="+mn-lt"/>
                    <a:ea typeface="+mn-ea"/>
                    <a:cs typeface="+mn-cs"/>
                  </a:defRPr>
                </a:pPr>
                <a:r>
                  <a:rPr lang="en-IN" sz="900"/>
                  <a:t>TOTAL</a:t>
                </a:r>
                <a:r>
                  <a:rPr lang="en-IN" sz="900" baseline="0"/>
                  <a:t> CASES</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tx1"/>
                    </a:solidFill>
                  </a:ln>
                  <a:solidFill>
                    <a:schemeClr val="tx2"/>
                  </a:solidFill>
                  <a:effectLst/>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effectLst/>
                <a:latin typeface="+mn-lt"/>
                <a:ea typeface="+mn-ea"/>
                <a:cs typeface="+mn-cs"/>
              </a:defRPr>
            </a:pPr>
            <a:endParaRPr lang="en-US"/>
          </a:p>
        </c:txPr>
        <c:crossAx val="15381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2"/>
          </a:solidFill>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Excel.xlsx]Vaccination Trend!PivotTable3</c:name>
    <c:fmtId val="2"/>
  </c:pivotSource>
  <c:chart>
    <c:autoTitleDeleted val="1"/>
    <c:pivotFmts>
      <c:pivotFmt>
        <c:idx val="0"/>
        <c:spPr>
          <a:solidFill>
            <a:srgbClr val="16A34A">
              <a:alpha val="6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A34A">
              <a:alpha val="6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A34A">
              <a:alpha val="6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66263405816"/>
          <c:y val="0.11835543583367869"/>
          <c:w val="0.84691188228954828"/>
          <c:h val="0.72201063682829114"/>
        </c:manualLayout>
      </c:layout>
      <c:areaChart>
        <c:grouping val="standard"/>
        <c:varyColors val="0"/>
        <c:ser>
          <c:idx val="0"/>
          <c:order val="0"/>
          <c:tx>
            <c:strRef>
              <c:f>'Vaccination Trend'!$B$3</c:f>
              <c:strCache>
                <c:ptCount val="1"/>
                <c:pt idx="0">
                  <c:v>Total</c:v>
                </c:pt>
              </c:strCache>
            </c:strRef>
          </c:tx>
          <c:spPr>
            <a:solidFill>
              <a:srgbClr val="16A34A">
                <a:alpha val="60000"/>
              </a:srgbClr>
            </a:solidFill>
            <a:ln>
              <a:noFill/>
            </a:ln>
            <a:effectLst/>
          </c:spPr>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'Vaccination Trend'!$A$4:$A$7</c:f>
              <c:strCache>
                <c:ptCount val="3"/>
                <c:pt idx="0">
                  <c:v>2021</c:v>
                </c:pt>
                <c:pt idx="1">
                  <c:v>2022</c:v>
                </c:pt>
                <c:pt idx="2">
                  <c:v>2023</c:v>
                </c:pt>
              </c:strCache>
            </c:strRef>
          </c:cat>
          <c:val>
            <c:numRef>
              <c:f>'Vaccination Trend'!$B$4:$B$7</c:f>
              <c:numCache>
                <c:formatCode>0.00,,,</c:formatCode>
                <c:ptCount val="3"/>
                <c:pt idx="0">
                  <c:v>9567490074</c:v>
                </c:pt>
                <c:pt idx="1">
                  <c:v>9653859329</c:v>
                </c:pt>
                <c:pt idx="2">
                  <c:v>6746138708</c:v>
                </c:pt>
              </c:numCache>
            </c:numRef>
          </c:val>
          <c:extLst>
            <c:ext xmlns:c16="http://schemas.microsoft.com/office/drawing/2014/chart" uri="{C3380CC4-5D6E-409C-BE32-E72D297353CC}">
              <c16:uniqueId val="{00000000-1E9A-4D9D-8336-BCDBC2736776}"/>
            </c:ext>
          </c:extLst>
        </c:ser>
        <c:dLbls>
          <c:showLegendKey val="0"/>
          <c:showVal val="1"/>
          <c:showCatName val="0"/>
          <c:showSerName val="0"/>
          <c:showPercent val="0"/>
          <c:showBubbleSize val="0"/>
        </c:dLbls>
        <c:axId val="812761376"/>
        <c:axId val="812763296"/>
      </c:areaChart>
      <c:catAx>
        <c:axId val="81276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812763296"/>
        <c:crosses val="autoZero"/>
        <c:auto val="1"/>
        <c:lblAlgn val="ctr"/>
        <c:lblOffset val="100"/>
        <c:noMultiLvlLbl val="0"/>
      </c:catAx>
      <c:valAx>
        <c:axId val="8127632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812761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Excel.xlsx]Recovery vs Deaths!PivotTable6</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A34A"/>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0433623734949"/>
          <c:y val="0.16323541288108218"/>
          <c:w val="0.8585579615048119"/>
          <c:h val="0.78378121004105261"/>
        </c:manualLayout>
      </c:layout>
      <c:bar3DChart>
        <c:barDir val="col"/>
        <c:grouping val="standard"/>
        <c:varyColors val="0"/>
        <c:ser>
          <c:idx val="0"/>
          <c:order val="0"/>
          <c:tx>
            <c:strRef>
              <c:f>'Recovery vs Deaths'!$A$3</c:f>
              <c:strCache>
                <c:ptCount val="1"/>
                <c:pt idx="0">
                  <c:v>Sum of Total_Recovered</c:v>
                </c:pt>
              </c:strCache>
            </c:strRef>
          </c:tx>
          <c:spPr>
            <a:solidFill>
              <a:srgbClr val="16A34A"/>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'Recovery vs Deaths'!$A$4</c:f>
              <c:strCache>
                <c:ptCount val="1"/>
                <c:pt idx="0">
                  <c:v>Total</c:v>
                </c:pt>
              </c:strCache>
            </c:strRef>
          </c:cat>
          <c:val>
            <c:numRef>
              <c:f>'Recovery vs Deaths'!$A$4</c:f>
              <c:numCache>
                <c:formatCode>0.00,,</c:formatCode>
                <c:ptCount val="1"/>
                <c:pt idx="0">
                  <c:v>447434709</c:v>
                </c:pt>
              </c:numCache>
            </c:numRef>
          </c:val>
          <c:extLst>
            <c:ext xmlns:c16="http://schemas.microsoft.com/office/drawing/2014/chart" uri="{C3380CC4-5D6E-409C-BE32-E72D297353CC}">
              <c16:uniqueId val="{00000000-5ED4-49E4-BE48-0643D6B7D25D}"/>
            </c:ext>
          </c:extLst>
        </c:ser>
        <c:ser>
          <c:idx val="1"/>
          <c:order val="1"/>
          <c:tx>
            <c:strRef>
              <c:f>'Recovery vs Deaths'!$B$3</c:f>
              <c:strCache>
                <c:ptCount val="1"/>
                <c:pt idx="0">
                  <c:v>Sum of Total_Deaths</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'Recovery vs Deaths'!$A$4</c:f>
              <c:strCache>
                <c:ptCount val="1"/>
                <c:pt idx="0">
                  <c:v>Total</c:v>
                </c:pt>
              </c:strCache>
            </c:strRef>
          </c:cat>
          <c:val>
            <c:numRef>
              <c:f>'Recovery vs Deaths'!$B$4</c:f>
              <c:numCache>
                <c:formatCode>0.00,,</c:formatCode>
                <c:ptCount val="1"/>
                <c:pt idx="0">
                  <c:v>24136772</c:v>
                </c:pt>
              </c:numCache>
            </c:numRef>
          </c:val>
          <c:extLst>
            <c:ext xmlns:c16="http://schemas.microsoft.com/office/drawing/2014/chart" uri="{C3380CC4-5D6E-409C-BE32-E72D297353CC}">
              <c16:uniqueId val="{00000001-5ED4-49E4-BE48-0643D6B7D25D}"/>
            </c:ext>
          </c:extLst>
        </c:ser>
        <c:dLbls>
          <c:showLegendKey val="0"/>
          <c:showVal val="1"/>
          <c:showCatName val="0"/>
          <c:showSerName val="0"/>
          <c:showPercent val="0"/>
          <c:showBubbleSize val="0"/>
        </c:dLbls>
        <c:gapWidth val="150"/>
        <c:shape val="box"/>
        <c:axId val="888327088"/>
        <c:axId val="888324208"/>
        <c:axId val="1050331600"/>
      </c:bar3DChart>
      <c:catAx>
        <c:axId val="888327088"/>
        <c:scaling>
          <c:orientation val="minMax"/>
        </c:scaling>
        <c:delete val="1"/>
        <c:axPos val="b"/>
        <c:numFmt formatCode="General" sourceLinked="1"/>
        <c:majorTickMark val="none"/>
        <c:minorTickMark val="none"/>
        <c:tickLblPos val="nextTo"/>
        <c:crossAx val="888324208"/>
        <c:crosses val="autoZero"/>
        <c:auto val="1"/>
        <c:lblAlgn val="ctr"/>
        <c:lblOffset val="100"/>
        <c:noMultiLvlLbl val="0"/>
      </c:catAx>
      <c:valAx>
        <c:axId val="88832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888327088"/>
        <c:crosses val="autoZero"/>
        <c:crossBetween val="between"/>
      </c:valAx>
      <c:serAx>
        <c:axId val="1050331600"/>
        <c:scaling>
          <c:orientation val="minMax"/>
        </c:scaling>
        <c:delete val="1"/>
        <c:axPos val="b"/>
        <c:majorTickMark val="none"/>
        <c:minorTickMark val="none"/>
        <c:tickLblPos val="nextTo"/>
        <c:crossAx val="8883242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Excel.xlsx]Top 10 Countries by Cases!PivotTable4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0603674540682"/>
          <c:y val="0.17542999432763212"/>
          <c:w val="0.80003018372703416"/>
          <c:h val="0.7134694701623836"/>
        </c:manualLayout>
      </c:layout>
      <c:barChart>
        <c:barDir val="bar"/>
        <c:grouping val="clustered"/>
        <c:varyColors val="0"/>
        <c:ser>
          <c:idx val="0"/>
          <c:order val="0"/>
          <c:tx>
            <c:strRef>
              <c:f>'Top 10 Countries by Cases'!$B$3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Countries by Cases'!$A$4:$A$11</c:f>
              <c:strCache>
                <c:ptCount val="7"/>
                <c:pt idx="0">
                  <c:v>Brazil</c:v>
                </c:pt>
                <c:pt idx="1">
                  <c:v>France</c:v>
                </c:pt>
                <c:pt idx="2">
                  <c:v>Germany</c:v>
                </c:pt>
                <c:pt idx="3">
                  <c:v>India</c:v>
                </c:pt>
                <c:pt idx="4">
                  <c:v>Italy</c:v>
                </c:pt>
                <c:pt idx="5">
                  <c:v>UK</c:v>
                </c:pt>
                <c:pt idx="6">
                  <c:v>USA</c:v>
                </c:pt>
              </c:strCache>
            </c:strRef>
          </c:cat>
          <c:val>
            <c:numRef>
              <c:f>'Top 10 Countries by Cases'!$B$4:$B$11</c:f>
              <c:numCache>
                <c:formatCode>0.00,,</c:formatCode>
                <c:ptCount val="7"/>
                <c:pt idx="0">
                  <c:v>69428982</c:v>
                </c:pt>
                <c:pt idx="1">
                  <c:v>66828491</c:v>
                </c:pt>
                <c:pt idx="2">
                  <c:v>71277946</c:v>
                </c:pt>
                <c:pt idx="3">
                  <c:v>74706676</c:v>
                </c:pt>
                <c:pt idx="4">
                  <c:v>72979841</c:v>
                </c:pt>
                <c:pt idx="5">
                  <c:v>83272676</c:v>
                </c:pt>
                <c:pt idx="6">
                  <c:v>71232102</c:v>
                </c:pt>
              </c:numCache>
            </c:numRef>
          </c:val>
          <c:extLst>
            <c:ext xmlns:c16="http://schemas.microsoft.com/office/drawing/2014/chart" uri="{C3380CC4-5D6E-409C-BE32-E72D297353CC}">
              <c16:uniqueId val="{00000000-C9B5-42DE-A8C9-8592A2696EE6}"/>
            </c:ext>
          </c:extLst>
        </c:ser>
        <c:dLbls>
          <c:showLegendKey val="0"/>
          <c:showVal val="1"/>
          <c:showCatName val="0"/>
          <c:showSerName val="0"/>
          <c:showPercent val="0"/>
          <c:showBubbleSize val="0"/>
        </c:dLbls>
        <c:gapWidth val="182"/>
        <c:axId val="754840176"/>
        <c:axId val="754844496"/>
      </c:barChart>
      <c:catAx>
        <c:axId val="75484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54844496"/>
        <c:crosses val="autoZero"/>
        <c:auto val="1"/>
        <c:lblAlgn val="ctr"/>
        <c:lblOffset val="100"/>
        <c:noMultiLvlLbl val="0"/>
      </c:catAx>
      <c:valAx>
        <c:axId val="7548444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5484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50554901109798"/>
          <c:y val="0.22102747909199519"/>
          <c:w val="0.51444809556285775"/>
          <c:h val="0.64039266597051714"/>
        </c:manualLayout>
      </c:layout>
      <c:scatterChart>
        <c:scatterStyle val="lineMarker"/>
        <c:varyColors val="0"/>
        <c:ser>
          <c:idx val="0"/>
          <c:order val="0"/>
          <c:tx>
            <c:strRef>
              <c:f>'GDP vs Population'!$B$14</c:f>
              <c:strCache>
                <c:ptCount val="1"/>
                <c:pt idx="0">
                  <c:v>Average of GDP_Per_Capita</c:v>
                </c:pt>
              </c:strCache>
            </c:strRef>
          </c:tx>
          <c:spPr>
            <a:ln w="28575" cap="rnd">
              <a:noFill/>
              <a:round/>
            </a:ln>
            <a:effectLst/>
          </c:spPr>
          <c:marker>
            <c:symbol val="circle"/>
            <c:size val="5"/>
            <c:spPr>
              <a:solidFill>
                <a:schemeClr val="accent1"/>
              </a:solidFill>
              <a:ln w="9525">
                <a:solidFill>
                  <a:schemeClr val="accent1"/>
                </a:solidFill>
              </a:ln>
              <a:effectLst/>
            </c:spPr>
          </c:marker>
          <c:xVal>
            <c:strRef>
              <c:f>'GDP vs Population'!$A$15:$A$21</c:f>
              <c:strCache>
                <c:ptCount val="7"/>
                <c:pt idx="0">
                  <c:v>Brazil</c:v>
                </c:pt>
                <c:pt idx="1">
                  <c:v>France</c:v>
                </c:pt>
                <c:pt idx="2">
                  <c:v>Germany</c:v>
                </c:pt>
                <c:pt idx="3">
                  <c:v>India</c:v>
                </c:pt>
                <c:pt idx="4">
                  <c:v>Italy</c:v>
                </c:pt>
                <c:pt idx="5">
                  <c:v>UK</c:v>
                </c:pt>
                <c:pt idx="6">
                  <c:v>USA</c:v>
                </c:pt>
              </c:strCache>
            </c:strRef>
          </c:xVal>
          <c:yVal>
            <c:numRef>
              <c:f>'GDP vs Population'!$B$15:$B$21</c:f>
              <c:numCache>
                <c:formatCode>#,##0</c:formatCode>
                <c:ptCount val="7"/>
                <c:pt idx="0">
                  <c:v>34473.338461538464</c:v>
                </c:pt>
                <c:pt idx="1">
                  <c:v>32661.237037037037</c:v>
                </c:pt>
                <c:pt idx="2">
                  <c:v>31687.97972972973</c:v>
                </c:pt>
                <c:pt idx="3">
                  <c:v>34352.038461538461</c:v>
                </c:pt>
                <c:pt idx="4">
                  <c:v>36275.159420289856</c:v>
                </c:pt>
                <c:pt idx="5">
                  <c:v>35500.019230769234</c:v>
                </c:pt>
                <c:pt idx="6">
                  <c:v>39074.664233576645</c:v>
                </c:pt>
              </c:numCache>
            </c:numRef>
          </c:yVal>
          <c:smooth val="0"/>
          <c:extLst>
            <c:ext xmlns:c16="http://schemas.microsoft.com/office/drawing/2014/chart" uri="{C3380CC4-5D6E-409C-BE32-E72D297353CC}">
              <c16:uniqueId val="{00000000-C1BE-4674-8025-2C9E61BB2CB2}"/>
            </c:ext>
          </c:extLst>
        </c:ser>
        <c:ser>
          <c:idx val="1"/>
          <c:order val="1"/>
          <c:tx>
            <c:strRef>
              <c:f>'GDP vs Population'!$C$14</c:f>
              <c:strCache>
                <c:ptCount val="1"/>
                <c:pt idx="0">
                  <c:v>Sum of Population</c:v>
                </c:pt>
              </c:strCache>
            </c:strRef>
          </c:tx>
          <c:spPr>
            <a:ln w="28575" cap="rnd">
              <a:noFill/>
              <a:round/>
            </a:ln>
            <a:effectLst/>
          </c:spPr>
          <c:marker>
            <c:symbol val="circle"/>
            <c:size val="5"/>
            <c:spPr>
              <a:solidFill>
                <a:schemeClr val="accent2"/>
              </a:solidFill>
              <a:ln w="9525">
                <a:solidFill>
                  <a:schemeClr val="accent2"/>
                </a:solidFill>
              </a:ln>
              <a:effectLst/>
            </c:spPr>
          </c:marker>
          <c:xVal>
            <c:strRef>
              <c:f>'GDP vs Population'!$A$15:$A$21</c:f>
              <c:strCache>
                <c:ptCount val="7"/>
                <c:pt idx="0">
                  <c:v>Brazil</c:v>
                </c:pt>
                <c:pt idx="1">
                  <c:v>France</c:v>
                </c:pt>
                <c:pt idx="2">
                  <c:v>Germany</c:v>
                </c:pt>
                <c:pt idx="3">
                  <c:v>India</c:v>
                </c:pt>
                <c:pt idx="4">
                  <c:v>Italy</c:v>
                </c:pt>
                <c:pt idx="5">
                  <c:v>UK</c:v>
                </c:pt>
                <c:pt idx="6">
                  <c:v>USA</c:v>
                </c:pt>
              </c:strCache>
            </c:strRef>
          </c:xVal>
          <c:yVal>
            <c:numRef>
              <c:f>'GDP vs Population'!$C$15:$C$21</c:f>
              <c:numCache>
                <c:formatCode>0.00,,,</c:formatCode>
                <c:ptCount val="7"/>
                <c:pt idx="0">
                  <c:v>3448571892</c:v>
                </c:pt>
                <c:pt idx="1">
                  <c:v>3601053624</c:v>
                </c:pt>
                <c:pt idx="2">
                  <c:v>3627068601</c:v>
                </c:pt>
                <c:pt idx="3">
                  <c:v>3943176894</c:v>
                </c:pt>
                <c:pt idx="4">
                  <c:v>3973264681</c:v>
                </c:pt>
                <c:pt idx="5">
                  <c:v>3772454740</c:v>
                </c:pt>
                <c:pt idx="6">
                  <c:v>3649535615</c:v>
                </c:pt>
              </c:numCache>
            </c:numRef>
          </c:yVal>
          <c:smooth val="0"/>
          <c:extLst>
            <c:ext xmlns:c16="http://schemas.microsoft.com/office/drawing/2014/chart" uri="{C3380CC4-5D6E-409C-BE32-E72D297353CC}">
              <c16:uniqueId val="{00000001-C1BE-4674-8025-2C9E61BB2CB2}"/>
            </c:ext>
          </c:extLst>
        </c:ser>
        <c:dLbls>
          <c:showLegendKey val="0"/>
          <c:showVal val="0"/>
          <c:showCatName val="0"/>
          <c:showSerName val="0"/>
          <c:showPercent val="0"/>
          <c:showBubbleSize val="0"/>
        </c:dLbls>
        <c:axId val="1042854800"/>
        <c:axId val="1042857680"/>
      </c:scatterChart>
      <c:valAx>
        <c:axId val="1042854800"/>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1042857680"/>
        <c:crosses val="autoZero"/>
        <c:crossBetween val="midCat"/>
      </c:valAx>
      <c:valAx>
        <c:axId val="104285768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1042854800"/>
        <c:crosses val="autoZero"/>
        <c:crossBetween val="midCat"/>
      </c:valAx>
      <c:spPr>
        <a:noFill/>
        <a:ln>
          <a:noFill/>
        </a:ln>
        <a:effectLst/>
      </c:spPr>
    </c:plotArea>
    <c:legend>
      <c:legendPos val="r"/>
      <c:layout>
        <c:manualLayout>
          <c:xMode val="edge"/>
          <c:yMode val="edge"/>
          <c:x val="0.73331059995453329"/>
          <c:y val="0.33422797956707023"/>
          <c:w val="0.24700436067538797"/>
          <c:h val="0.52867665735331471"/>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chemeClr val="tx1">
                <a:alpha val="69000"/>
              </a:schemeClr>
            </a:solidFill>
          </a:ln>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Excel.xlsx]Vaccination rate by country!PivotTable2</c:name>
    <c:fmtId val="2"/>
  </c:pivotSource>
  <c:chart>
    <c:title>
      <c:tx>
        <c:rich>
          <a:bodyPr rot="0" spcFirstLastPara="1" vertOverflow="ellipsis" vert="horz" wrap="square" anchor="ctr" anchorCtr="1"/>
          <a:lstStyle/>
          <a:p>
            <a:pPr>
              <a:defRPr sz="1400" b="0" i="0" u="none" strike="noStrike" kern="1200" spc="0" baseline="0">
                <a:ln>
                  <a:solidFill>
                    <a:srgbClr val="1E3A5F"/>
                  </a:solidFill>
                </a:ln>
                <a:solidFill>
                  <a:schemeClr val="tx1">
                    <a:lumMod val="65000"/>
                    <a:lumOff val="35000"/>
                  </a:schemeClr>
                </a:solidFill>
                <a:latin typeface="+mn-lt"/>
                <a:ea typeface="+mn-ea"/>
                <a:cs typeface="+mn-cs"/>
              </a:defRPr>
            </a:pPr>
            <a:r>
              <a:rPr lang="en-US" sz="1200"/>
              <a:t>VACCINATION RATE BY COUNTRY(%)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1E3A5F"/>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009A4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1E3A5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A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A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'Vaccination rate by country'!$B$3</c:f>
              <c:strCache>
                <c:ptCount val="1"/>
                <c:pt idx="0">
                  <c:v>Total</c:v>
                </c:pt>
              </c:strCache>
            </c:strRef>
          </c:tx>
          <c:spPr>
            <a:solidFill>
              <a:srgbClr val="009A4D"/>
            </a:solidFill>
            <a:ln>
              <a:noFill/>
            </a:ln>
            <a:effectLst/>
          </c:spPr>
          <c:invertIfNegative val="0"/>
          <c:cat>
            <c:strRef>
              <c:f>'Vaccination rate by country'!$A$4:$A$11</c:f>
              <c:strCache>
                <c:ptCount val="7"/>
                <c:pt idx="0">
                  <c:v>Brazil</c:v>
                </c:pt>
                <c:pt idx="1">
                  <c:v>France</c:v>
                </c:pt>
                <c:pt idx="2">
                  <c:v>Germany</c:v>
                </c:pt>
                <c:pt idx="3">
                  <c:v>India</c:v>
                </c:pt>
                <c:pt idx="4">
                  <c:v>Italy</c:v>
                </c:pt>
                <c:pt idx="5">
                  <c:v>UK</c:v>
                </c:pt>
                <c:pt idx="6">
                  <c:v>USA</c:v>
                </c:pt>
              </c:strCache>
            </c:strRef>
          </c:cat>
          <c:val>
            <c:numRef>
              <c:f>'Vaccination rate by country'!$B$4:$B$11</c:f>
              <c:numCache>
                <c:formatCode>General</c:formatCode>
                <c:ptCount val="7"/>
                <c:pt idx="0">
                  <c:v>54.255461538461525</c:v>
                </c:pt>
                <c:pt idx="1">
                  <c:v>54.760370370370374</c:v>
                </c:pt>
                <c:pt idx="2">
                  <c:v>48.37608108108109</c:v>
                </c:pt>
                <c:pt idx="3">
                  <c:v>45.014551282051265</c:v>
                </c:pt>
                <c:pt idx="4">
                  <c:v>51.841956521739128</c:v>
                </c:pt>
                <c:pt idx="5">
                  <c:v>45.340384615384622</c:v>
                </c:pt>
                <c:pt idx="6">
                  <c:v>49.241313868613148</c:v>
                </c:pt>
              </c:numCache>
            </c:numRef>
          </c:val>
          <c:extLst>
            <c:ext xmlns:c16="http://schemas.microsoft.com/office/drawing/2014/chart" uri="{C3380CC4-5D6E-409C-BE32-E72D297353CC}">
              <c16:uniqueId val="{00000000-F03A-40E1-BF59-5FF578C681CC}"/>
            </c:ext>
          </c:extLst>
        </c:ser>
        <c:dLbls>
          <c:showLegendKey val="0"/>
          <c:showVal val="0"/>
          <c:showCatName val="0"/>
          <c:showSerName val="0"/>
          <c:showPercent val="0"/>
          <c:showBubbleSize val="0"/>
        </c:dLbls>
        <c:gapWidth val="219"/>
        <c:overlap val="-27"/>
        <c:axId val="1377592559"/>
        <c:axId val="1377581519"/>
      </c:barChart>
      <c:catAx>
        <c:axId val="13775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lumMod val="65000"/>
                    <a:lumOff val="35000"/>
                  </a:schemeClr>
                </a:solidFill>
                <a:latin typeface="+mn-lt"/>
                <a:ea typeface="+mn-ea"/>
                <a:cs typeface="+mn-cs"/>
              </a:defRPr>
            </a:pPr>
            <a:endParaRPr lang="en-US"/>
          </a:p>
        </c:txPr>
        <c:crossAx val="1377581519"/>
        <c:crosses val="autoZero"/>
        <c:auto val="1"/>
        <c:lblAlgn val="ctr"/>
        <c:lblOffset val="100"/>
        <c:noMultiLvlLbl val="0"/>
      </c:catAx>
      <c:valAx>
        <c:axId val="137758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lumMod val="65000"/>
                    <a:lumOff val="35000"/>
                  </a:schemeClr>
                </a:solidFill>
                <a:latin typeface="+mn-lt"/>
                <a:ea typeface="+mn-ea"/>
                <a:cs typeface="+mn-cs"/>
              </a:defRPr>
            </a:pPr>
            <a:endParaRPr lang="en-US"/>
          </a:p>
        </c:txPr>
        <c:crossAx val="13775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rgbClr val="1E3A5F"/>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[COVID19_Population_Analytics Final Project Excel.xlsx]Population density by country!PivotTable3</c:name>
    <c:fmtId val="8"/>
  </c:pivotSource>
  <c:chart>
    <c:title>
      <c:tx>
        <c:rich>
          <a:bodyPr rot="0" spcFirstLastPara="1" vertOverflow="ellipsis" vert="horz" wrap="square" anchor="ctr" anchorCtr="1"/>
          <a:lstStyle/>
          <a:p>
            <a:pPr>
              <a:defRPr sz="1400" b="0" i="0" u="none" strike="noStrike" kern="1200" spc="0" baseline="0">
                <a:ln>
                  <a:solidFill>
                    <a:srgbClr val="1E3A5F"/>
                  </a:solidFill>
                </a:ln>
                <a:solidFill>
                  <a:schemeClr val="tx1"/>
                </a:solidFill>
                <a:latin typeface="+mn-lt"/>
                <a:ea typeface="+mn-ea"/>
                <a:cs typeface="+mn-cs"/>
              </a:defRPr>
            </a:pPr>
            <a:r>
              <a:rPr lang="en-US" sz="1200" b="0"/>
              <a:t>POPULATION DENSITY BY COUNTRY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1E3A5F"/>
                </a:solidFill>
              </a:ln>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1E3A5F"/>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1E3A5F"/>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'Population density by country'!$B$3</c:f>
              <c:strCache>
                <c:ptCount val="1"/>
                <c:pt idx="0">
                  <c:v>Total</c:v>
                </c:pt>
              </c:strCache>
            </c:strRef>
          </c:tx>
          <c:spPr>
            <a:solidFill>
              <a:srgbClr val="7030A0"/>
            </a:solidFill>
            <a:ln>
              <a:noFill/>
            </a:ln>
            <a:effectLst/>
          </c:spPr>
          <c:invertIfNegative val="0"/>
          <c:cat>
            <c:strRef>
              <c:f>'Population density by country'!$A$4:$A$11</c:f>
              <c:strCache>
                <c:ptCount val="7"/>
                <c:pt idx="0">
                  <c:v>Brazil</c:v>
                </c:pt>
                <c:pt idx="1">
                  <c:v>France</c:v>
                </c:pt>
                <c:pt idx="2">
                  <c:v>Germany</c:v>
                </c:pt>
                <c:pt idx="3">
                  <c:v>India</c:v>
                </c:pt>
                <c:pt idx="4">
                  <c:v>Italy</c:v>
                </c:pt>
                <c:pt idx="5">
                  <c:v>UK</c:v>
                </c:pt>
                <c:pt idx="6">
                  <c:v>USA</c:v>
                </c:pt>
              </c:strCache>
            </c:strRef>
          </c:cat>
          <c:val>
            <c:numRef>
              <c:f>'Population density by country'!$B$4:$B$11</c:f>
              <c:numCache>
                <c:formatCode>#,##0</c:formatCode>
                <c:ptCount val="7"/>
                <c:pt idx="0">
                  <c:v>9612.6615384615379</c:v>
                </c:pt>
                <c:pt idx="1">
                  <c:v>10435.896296296296</c:v>
                </c:pt>
                <c:pt idx="2">
                  <c:v>10057.04054054054</c:v>
                </c:pt>
                <c:pt idx="3">
                  <c:v>9683.1025641025644</c:v>
                </c:pt>
                <c:pt idx="4">
                  <c:v>10929.63768115942</c:v>
                </c:pt>
                <c:pt idx="5">
                  <c:v>10144.974358974359</c:v>
                </c:pt>
                <c:pt idx="6">
                  <c:v>9739.6788321167878</c:v>
                </c:pt>
              </c:numCache>
            </c:numRef>
          </c:val>
          <c:extLst>
            <c:ext xmlns:c16="http://schemas.microsoft.com/office/drawing/2014/chart" uri="{C3380CC4-5D6E-409C-BE32-E72D297353CC}">
              <c16:uniqueId val="{00000000-0164-44A1-B77E-41751444170F}"/>
            </c:ext>
          </c:extLst>
        </c:ser>
        <c:dLbls>
          <c:showLegendKey val="0"/>
          <c:showVal val="0"/>
          <c:showCatName val="0"/>
          <c:showSerName val="0"/>
          <c:showPercent val="0"/>
          <c:showBubbleSize val="0"/>
        </c:dLbls>
        <c:gapWidth val="182"/>
        <c:axId val="1425619455"/>
        <c:axId val="1425599295"/>
      </c:barChart>
      <c:catAx>
        <c:axId val="14256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solidFill>
                <a:latin typeface="+mn-lt"/>
                <a:ea typeface="+mn-ea"/>
                <a:cs typeface="+mn-cs"/>
              </a:defRPr>
            </a:pPr>
            <a:endParaRPr lang="en-US"/>
          </a:p>
        </c:txPr>
        <c:crossAx val="1425599295"/>
        <c:crosses val="autoZero"/>
        <c:auto val="1"/>
        <c:lblAlgn val="ctr"/>
        <c:lblOffset val="100"/>
        <c:noMultiLvlLbl val="0"/>
      </c:catAx>
      <c:valAx>
        <c:axId val="14255992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1E3A5F"/>
                  </a:solidFill>
                </a:ln>
                <a:solidFill>
                  <a:schemeClr val="tx1"/>
                </a:solidFill>
                <a:latin typeface="+mn-lt"/>
                <a:ea typeface="+mn-ea"/>
                <a:cs typeface="+mn-cs"/>
              </a:defRPr>
            </a:pPr>
            <a:endParaRPr lang="en-US"/>
          </a:p>
        </c:txPr>
        <c:crossAx val="14256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ln>
            <a:solidFill>
              <a:srgbClr val="1E3A5F"/>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POPULATION BY COUNTRY</cx:v>
        </cx:txData>
      </cx:tx>
      <cx:txPr>
        <a:bodyPr spcFirstLastPara="1" vertOverflow="ellipsis" horzOverflow="overflow" wrap="square" lIns="0" tIns="0" rIns="0" bIns="0" anchor="ctr" anchorCtr="1"/>
        <a:lstStyle/>
        <a:p>
          <a:pPr algn="ctr" rtl="0">
            <a:defRPr/>
          </a:pPr>
          <a:r>
            <a:rPr lang="en-US" sz="1100" b="1" i="0" u="none" strike="noStrike" baseline="0">
              <a:solidFill>
                <a:srgbClr val="0070C0"/>
              </a:solidFill>
              <a:latin typeface="Calibri"/>
            </a:rPr>
            <a:t>POPULATION BY COUNTRY</a:t>
          </a:r>
        </a:p>
      </cx:txPr>
    </cx:title>
    <cx:plotArea>
      <cx:plotAreaRegion>
        <cx:series layoutId="treemap" uniqueId="{00000000-E05F-49D9-8598-0FFC579B4099}">
          <cx:dataLabels>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tx>
        <cx:txData>
          <cx:v>POPULATION BY COUNTRY</cx:v>
        </cx:txData>
      </cx:tx>
      <cx:txPr>
        <a:bodyPr spcFirstLastPara="1" vertOverflow="ellipsis" horzOverflow="overflow" wrap="square" lIns="0" tIns="0" rIns="0" bIns="0" anchor="ctr" anchorCtr="1"/>
        <a:lstStyle/>
        <a:p>
          <a:pPr algn="ctr" rtl="0">
            <a:defRPr/>
          </a:pPr>
          <a:r>
            <a:rPr lang="en-US" sz="1100" b="1" i="0" u="none" strike="noStrike" baseline="0">
              <a:solidFill>
                <a:srgbClr val="0070C0"/>
              </a:solidFill>
              <a:latin typeface="Calibri"/>
            </a:rPr>
            <a:t>POPULATION BY COUNTRY</a:t>
          </a:r>
        </a:p>
      </cx:txPr>
    </cx:title>
    <cx:plotArea>
      <cx:plotAreaRegion>
        <cx:series layoutId="treemap" uniqueId="{00000000-E05F-49D9-8598-0FFC579B4099}">
          <cx:dataLabels>
            <cx:visibility seriesName="0" categoryName="1" value="0"/>
          </cx:dataLabels>
          <cx:dataId val="0"/>
          <cx:layoutPr>
            <cx:parentLabelLayout val="overlapping"/>
          </cx:layoutPr>
        </cx:series>
      </cx:plotAreaRegion>
    </cx:plotArea>
  </cx:chart>
  <cx:spPr>
    <a:noFill/>
    <a:ln>
      <a:solidFill>
        <a:srgbClr val="1E3A5F"/>
      </a:solidFill>
    </a:ln>
    <a:effectLst>
      <a:glow rad="63500">
        <a:schemeClr val="accent1">
          <a:satMod val="175000"/>
          <a:alpha val="40000"/>
        </a:schemeClr>
      </a:glow>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10.xml"/><Relationship Id="rId3" Type="http://schemas.openxmlformats.org/officeDocument/2006/relationships/image" Target="../media/image2.svg"/><Relationship Id="rId21" Type="http://schemas.openxmlformats.org/officeDocument/2006/relationships/chart" Target="../charts/chart13.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5" Type="http://schemas.openxmlformats.org/officeDocument/2006/relationships/chart" Target="../charts/chart16.xml"/><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chart" Target="../charts/chart12.xml"/><Relationship Id="rId1" Type="http://schemas.openxmlformats.org/officeDocument/2006/relationships/chart" Target="../charts/chart9.xml"/><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chart" Target="../charts/chart15.xml"/><Relationship Id="rId5" Type="http://schemas.openxmlformats.org/officeDocument/2006/relationships/image" Target="../media/image4.svg"/><Relationship Id="rId15" Type="http://schemas.openxmlformats.org/officeDocument/2006/relationships/image" Target="../media/image14.svg"/><Relationship Id="rId23" Type="http://schemas.microsoft.com/office/2014/relationships/chartEx" Target="../charts/chartEx2.xml"/><Relationship Id="rId10" Type="http://schemas.openxmlformats.org/officeDocument/2006/relationships/image" Target="../media/image9.png"/><Relationship Id="rId19"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 Id="rId22"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205740</xdr:colOff>
      <xdr:row>6</xdr:row>
      <xdr:rowOff>80010</xdr:rowOff>
    </xdr:from>
    <xdr:to>
      <xdr:col>13</xdr:col>
      <xdr:colOff>510540</xdr:colOff>
      <xdr:row>21</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9E6006C-3B55-38CB-B918-A75B48004F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772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6</xdr:row>
      <xdr:rowOff>80010</xdr:rowOff>
    </xdr:from>
    <xdr:to>
      <xdr:col>9</xdr:col>
      <xdr:colOff>403860</xdr:colOff>
      <xdr:row>21</xdr:row>
      <xdr:rowOff>80010</xdr:rowOff>
    </xdr:to>
    <xdr:graphicFrame macro="">
      <xdr:nvGraphicFramePr>
        <xdr:cNvPr id="2" name="Chart 1">
          <a:extLst>
            <a:ext uri="{FF2B5EF4-FFF2-40B4-BE49-F238E27FC236}">
              <a16:creationId xmlns:a16="http://schemas.microsoft.com/office/drawing/2014/main" id="{067A3B8A-8BC2-60BA-21D3-32B6A503C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388620</xdr:colOff>
      <xdr:row>6</xdr:row>
      <xdr:rowOff>80010</xdr:rowOff>
    </xdr:from>
    <xdr:to>
      <xdr:col>10</xdr:col>
      <xdr:colOff>83820</xdr:colOff>
      <xdr:row>21</xdr:row>
      <xdr:rowOff>80010</xdr:rowOff>
    </xdr:to>
    <xdr:graphicFrame macro="">
      <xdr:nvGraphicFramePr>
        <xdr:cNvPr id="3" name="Chart 2">
          <a:extLst>
            <a:ext uri="{FF2B5EF4-FFF2-40B4-BE49-F238E27FC236}">
              <a16:creationId xmlns:a16="http://schemas.microsoft.com/office/drawing/2014/main" id="{4BCB8DDB-DE6A-B092-E337-CF2DC61A2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1165860</xdr:colOff>
      <xdr:row>7</xdr:row>
      <xdr:rowOff>38100</xdr:rowOff>
    </xdr:from>
    <xdr:to>
      <xdr:col>6</xdr:col>
      <xdr:colOff>358140</xdr:colOff>
      <xdr:row>20</xdr:row>
      <xdr:rowOff>127635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365CDAF3-550D-96F1-97DE-B308F06827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01740" y="131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1165860</xdr:colOff>
      <xdr:row>7</xdr:row>
      <xdr:rowOff>38100</xdr:rowOff>
    </xdr:from>
    <xdr:to>
      <xdr:col>6</xdr:col>
      <xdr:colOff>358140</xdr:colOff>
      <xdr:row>20</xdr:row>
      <xdr:rowOff>127635</xdr:rowOff>
    </xdr:to>
    <mc:AlternateContent xmlns:mc="http://schemas.openxmlformats.org/markup-compatibility/2006" xmlns:a14="http://schemas.microsoft.com/office/drawing/2010/main">
      <mc:Choice Requires="a14">
        <xdr:graphicFrame macro="">
          <xdr:nvGraphicFramePr>
            <xdr:cNvPr id="3" name="State_Region">
              <a:extLst>
                <a:ext uri="{FF2B5EF4-FFF2-40B4-BE49-F238E27FC236}">
                  <a16:creationId xmlns:a16="http://schemas.microsoft.com/office/drawing/2014/main" id="{840A9050-AC03-8BA2-EC58-AF48012C2367}"/>
                </a:ext>
              </a:extLst>
            </xdr:cNvPr>
            <xdr:cNvGraphicFramePr/>
          </xdr:nvGraphicFramePr>
          <xdr:xfrm>
            <a:off x="0" y="0"/>
            <a:ext cx="0" cy="0"/>
          </xdr:xfrm>
          <a:graphic>
            <a:graphicData uri="http://schemas.microsoft.com/office/drawing/2010/slicer">
              <sle:slicer xmlns:sle="http://schemas.microsoft.com/office/drawing/2010/slicer" name="State_Region"/>
            </a:graphicData>
          </a:graphic>
        </xdr:graphicFrame>
      </mc:Choice>
      <mc:Fallback xmlns="">
        <xdr:sp macro="" textlink="">
          <xdr:nvSpPr>
            <xdr:cNvPr id="0" name=""/>
            <xdr:cNvSpPr>
              <a:spLocks noTextEdit="1"/>
            </xdr:cNvSpPr>
          </xdr:nvSpPr>
          <xdr:spPr>
            <a:xfrm>
              <a:off x="6301740" y="131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1165860</xdr:colOff>
      <xdr:row>7</xdr:row>
      <xdr:rowOff>38100</xdr:rowOff>
    </xdr:from>
    <xdr:to>
      <xdr:col>6</xdr:col>
      <xdr:colOff>358140</xdr:colOff>
      <xdr:row>20</xdr:row>
      <xdr:rowOff>127635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2065662C-BE6E-16F9-BB0C-E808907127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01740" y="131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411480</xdr:colOff>
      <xdr:row>10</xdr:row>
      <xdr:rowOff>121920</xdr:rowOff>
    </xdr:from>
    <xdr:to>
      <xdr:col>7</xdr:col>
      <xdr:colOff>502920</xdr:colOff>
      <xdr:row>18</xdr:row>
      <xdr:rowOff>30480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75C4F496-8767-87E1-CD4A-4F3E5D4F121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547360" y="19507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121920</xdr:colOff>
      <xdr:row>3</xdr:row>
      <xdr:rowOff>99060</xdr:rowOff>
    </xdr:from>
    <xdr:to>
      <xdr:col>12</xdr:col>
      <xdr:colOff>121920</xdr:colOff>
      <xdr:row>23</xdr:row>
      <xdr:rowOff>22860</xdr:rowOff>
    </xdr:to>
    <mc:AlternateContent xmlns:mc="http://schemas.openxmlformats.org/markup-compatibility/2006" xmlns:a14="http://schemas.microsoft.com/office/drawing/2010/main">
      <mc:Choice Requires="a14">
        <xdr:graphicFrame macro="">
          <xdr:nvGraphicFramePr>
            <xdr:cNvPr id="7" name="Median_Age">
              <a:extLst>
                <a:ext uri="{FF2B5EF4-FFF2-40B4-BE49-F238E27FC236}">
                  <a16:creationId xmlns:a16="http://schemas.microsoft.com/office/drawing/2014/main" id="{CFB1E677-5834-7328-0A95-5899C15BB162}"/>
                </a:ext>
              </a:extLst>
            </xdr:cNvPr>
            <xdr:cNvGraphicFramePr/>
          </xdr:nvGraphicFramePr>
          <xdr:xfrm>
            <a:off x="0" y="0"/>
            <a:ext cx="0" cy="0"/>
          </xdr:xfrm>
          <a:graphic>
            <a:graphicData uri="http://schemas.microsoft.com/office/drawing/2010/slicer">
              <sle:slicer xmlns:sle="http://schemas.microsoft.com/office/drawing/2010/slicer" name="Median_Age"/>
            </a:graphicData>
          </a:graphic>
        </xdr:graphicFrame>
      </mc:Choice>
      <mc:Fallback xmlns="">
        <xdr:sp macro="" textlink="">
          <xdr:nvSpPr>
            <xdr:cNvPr id="0" name=""/>
            <xdr:cNvSpPr>
              <a:spLocks noTextEdit="1"/>
            </xdr:cNvSpPr>
          </xdr:nvSpPr>
          <xdr:spPr>
            <a:xfrm>
              <a:off x="9723120" y="647700"/>
              <a:ext cx="1828800" cy="358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6</xdr:row>
      <xdr:rowOff>80010</xdr:rowOff>
    </xdr:from>
    <xdr:to>
      <xdr:col>11</xdr:col>
      <xdr:colOff>152400</xdr:colOff>
      <xdr:row>21</xdr:row>
      <xdr:rowOff>80010</xdr:rowOff>
    </xdr:to>
    <xdr:graphicFrame macro="">
      <xdr:nvGraphicFramePr>
        <xdr:cNvPr id="2" name="Chart 1">
          <a:extLst>
            <a:ext uri="{FF2B5EF4-FFF2-40B4-BE49-F238E27FC236}">
              <a16:creationId xmlns:a16="http://schemas.microsoft.com/office/drawing/2014/main" id="{177C2B91-F7E1-79F6-7C57-65566E6D9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167640</xdr:colOff>
      <xdr:row>6</xdr:row>
      <xdr:rowOff>80010</xdr:rowOff>
    </xdr:from>
    <xdr:to>
      <xdr:col>9</xdr:col>
      <xdr:colOff>502920</xdr:colOff>
      <xdr:row>21</xdr:row>
      <xdr:rowOff>80010</xdr:rowOff>
    </xdr:to>
    <xdr:graphicFrame macro="">
      <xdr:nvGraphicFramePr>
        <xdr:cNvPr id="2" name="Chart 1">
          <a:extLst>
            <a:ext uri="{FF2B5EF4-FFF2-40B4-BE49-F238E27FC236}">
              <a16:creationId xmlns:a16="http://schemas.microsoft.com/office/drawing/2014/main" id="{F803FA79-5DD6-1F8F-D596-DBC8AEFFD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457200</xdr:colOff>
      <xdr:row>6</xdr:row>
      <xdr:rowOff>80010</xdr:rowOff>
    </xdr:from>
    <xdr:to>
      <xdr:col>11</xdr:col>
      <xdr:colOff>152400</xdr:colOff>
      <xdr:row>21</xdr:row>
      <xdr:rowOff>80010</xdr:rowOff>
    </xdr:to>
    <xdr:graphicFrame macro="">
      <xdr:nvGraphicFramePr>
        <xdr:cNvPr id="2" name="Chart 1">
          <a:extLst>
            <a:ext uri="{FF2B5EF4-FFF2-40B4-BE49-F238E27FC236}">
              <a16:creationId xmlns:a16="http://schemas.microsoft.com/office/drawing/2014/main" id="{5E58B776-BC37-13A0-7A7D-1429A80EC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190500</xdr:colOff>
      <xdr:row>6</xdr:row>
      <xdr:rowOff>80010</xdr:rowOff>
    </xdr:from>
    <xdr:to>
      <xdr:col>10</xdr:col>
      <xdr:colOff>495300</xdr:colOff>
      <xdr:row>21</xdr:row>
      <xdr:rowOff>80010</xdr:rowOff>
    </xdr:to>
    <xdr:graphicFrame macro="">
      <xdr:nvGraphicFramePr>
        <xdr:cNvPr id="2" name="Chart 1">
          <a:extLst>
            <a:ext uri="{FF2B5EF4-FFF2-40B4-BE49-F238E27FC236}">
              <a16:creationId xmlns:a16="http://schemas.microsoft.com/office/drawing/2014/main" id="{32389EE9-9289-5D1D-A891-4A23544BC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160020</xdr:colOff>
      <xdr:row>6</xdr:row>
      <xdr:rowOff>80010</xdr:rowOff>
    </xdr:from>
    <xdr:to>
      <xdr:col>9</xdr:col>
      <xdr:colOff>464820</xdr:colOff>
      <xdr:row>21</xdr:row>
      <xdr:rowOff>80010</xdr:rowOff>
    </xdr:to>
    <xdr:graphicFrame macro="">
      <xdr:nvGraphicFramePr>
        <xdr:cNvPr id="4" name="Chart 3">
          <a:extLst>
            <a:ext uri="{FF2B5EF4-FFF2-40B4-BE49-F238E27FC236}">
              <a16:creationId xmlns:a16="http://schemas.microsoft.com/office/drawing/2014/main" id="{DDFE7809-1ECC-D1BC-D2D3-62F9086B2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464820</xdr:colOff>
      <xdr:row>5</xdr:row>
      <xdr:rowOff>133350</xdr:rowOff>
    </xdr:from>
    <xdr:to>
      <xdr:col>11</xdr:col>
      <xdr:colOff>160020</xdr:colOff>
      <xdr:row>20</xdr:row>
      <xdr:rowOff>133350</xdr:rowOff>
    </xdr:to>
    <xdr:graphicFrame macro="">
      <xdr:nvGraphicFramePr>
        <xdr:cNvPr id="6" name="Chart 5">
          <a:extLst>
            <a:ext uri="{FF2B5EF4-FFF2-40B4-BE49-F238E27FC236}">
              <a16:creationId xmlns:a16="http://schemas.microsoft.com/office/drawing/2014/main" id="{EA660640-7191-7D0C-314F-E310B8013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335280</xdr:colOff>
      <xdr:row>0</xdr:row>
      <xdr:rowOff>15240</xdr:rowOff>
    </xdr:from>
    <xdr:to>
      <xdr:col>24</xdr:col>
      <xdr:colOff>106680</xdr:colOff>
      <xdr:row>37</xdr:row>
      <xdr:rowOff>0</xdr:rowOff>
    </xdr:to>
    <xdr:sp macro="" textlink="">
      <xdr:nvSpPr>
        <xdr:cNvPr id="13" name="Rectangle 12">
          <a:extLst>
            <a:ext uri="{FF2B5EF4-FFF2-40B4-BE49-F238E27FC236}">
              <a16:creationId xmlns:a16="http://schemas.microsoft.com/office/drawing/2014/main" id="{B541FE99-F91B-AAAC-565D-05C67C4E53DB}"/>
            </a:ext>
          </a:extLst>
        </xdr:cNvPr>
        <xdr:cNvSpPr/>
      </xdr:nvSpPr>
      <xdr:spPr>
        <a:xfrm>
          <a:off x="11308080" y="15240"/>
          <a:ext cx="3429000" cy="6751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14</xdr:row>
      <xdr:rowOff>99060</xdr:rowOff>
    </xdr:from>
    <xdr:to>
      <xdr:col>4</xdr:col>
      <xdr:colOff>152400</xdr:colOff>
      <xdr:row>16</xdr:row>
      <xdr:rowOff>45720</xdr:rowOff>
    </xdr:to>
    <xdr:sp macro="" textlink="">
      <xdr:nvSpPr>
        <xdr:cNvPr id="16" name="TextBox 15">
          <a:extLst>
            <a:ext uri="{FF2B5EF4-FFF2-40B4-BE49-F238E27FC236}">
              <a16:creationId xmlns:a16="http://schemas.microsoft.com/office/drawing/2014/main" id="{837A39B8-005A-2095-FAEB-DBA182048F0A}"/>
            </a:ext>
          </a:extLst>
        </xdr:cNvPr>
        <xdr:cNvSpPr txBox="1"/>
      </xdr:nvSpPr>
      <xdr:spPr>
        <a:xfrm>
          <a:off x="693420" y="2659380"/>
          <a:ext cx="1897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   RECOVERED</a:t>
          </a:r>
          <a:r>
            <a:rPr lang="en-IN" sz="1100" b="1" baseline="0">
              <a:solidFill>
                <a:srgbClr val="0070C0"/>
              </a:solidFill>
            </a:rPr>
            <a:t> vs DEATH</a:t>
          </a:r>
          <a:endParaRPr lang="en-IN" sz="1100" b="1">
            <a:solidFill>
              <a:srgbClr val="0070C0"/>
            </a:solidFill>
          </a:endParaRPr>
        </a:p>
      </xdr:txBody>
    </xdr:sp>
    <xdr:clientData/>
  </xdr:twoCellAnchor>
  <xdr:twoCellAnchor>
    <xdr:from>
      <xdr:col>12</xdr:col>
      <xdr:colOff>495300</xdr:colOff>
      <xdr:row>6</xdr:row>
      <xdr:rowOff>53340</xdr:rowOff>
    </xdr:from>
    <xdr:to>
      <xdr:col>18</xdr:col>
      <xdr:colOff>297180</xdr:colOff>
      <xdr:row>14</xdr:row>
      <xdr:rowOff>38100</xdr:rowOff>
    </xdr:to>
    <xdr:graphicFrame macro="">
      <xdr:nvGraphicFramePr>
        <xdr:cNvPr id="24" name="Chart 23">
          <a:extLst>
            <a:ext uri="{FF2B5EF4-FFF2-40B4-BE49-F238E27FC236}">
              <a16:creationId xmlns:a16="http://schemas.microsoft.com/office/drawing/2014/main" id="{4C954B4C-F421-4CD9-A3B2-E6EE6D811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22860</xdr:rowOff>
    </xdr:from>
    <xdr:to>
      <xdr:col>23</xdr:col>
      <xdr:colOff>152400</xdr:colOff>
      <xdr:row>37</xdr:row>
      <xdr:rowOff>45720</xdr:rowOff>
    </xdr:to>
    <xdr:grpSp>
      <xdr:nvGrpSpPr>
        <xdr:cNvPr id="38" name="Group 37">
          <a:extLst>
            <a:ext uri="{FF2B5EF4-FFF2-40B4-BE49-F238E27FC236}">
              <a16:creationId xmlns:a16="http://schemas.microsoft.com/office/drawing/2014/main" id="{730D49A3-041E-C469-2B9F-F16998E63DD0}"/>
            </a:ext>
          </a:extLst>
        </xdr:cNvPr>
        <xdr:cNvGrpSpPr/>
      </xdr:nvGrpSpPr>
      <xdr:grpSpPr>
        <a:xfrm>
          <a:off x="0" y="22860"/>
          <a:ext cx="14173200" cy="6789420"/>
          <a:chOff x="0" y="22860"/>
          <a:chExt cx="14173200" cy="6789420"/>
        </a:xfrm>
      </xdr:grpSpPr>
      <xdr:sp macro="" textlink="">
        <xdr:nvSpPr>
          <xdr:cNvPr id="14" name="TextBox 13">
            <a:extLst>
              <a:ext uri="{FF2B5EF4-FFF2-40B4-BE49-F238E27FC236}">
                <a16:creationId xmlns:a16="http://schemas.microsoft.com/office/drawing/2014/main" id="{1389FF0B-589F-4D0A-CA55-FF15DD4645AE}"/>
              </a:ext>
            </a:extLst>
          </xdr:cNvPr>
          <xdr:cNvSpPr txBox="1"/>
        </xdr:nvSpPr>
        <xdr:spPr>
          <a:xfrm>
            <a:off x="11300460" y="30480"/>
            <a:ext cx="2804160" cy="289560"/>
          </a:xfrm>
          <a:prstGeom prst="rect">
            <a:avLst/>
          </a:prstGeom>
          <a:solidFill>
            <a:srgbClr val="1E3A5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a:t>
            </a:r>
            <a:r>
              <a:rPr lang="en-IN" sz="1400" b="1" baseline="0">
                <a:solidFill>
                  <a:schemeClr val="bg1"/>
                </a:solidFill>
              </a:rPr>
              <a:t>   </a:t>
            </a:r>
            <a:r>
              <a:rPr lang="en-IN" sz="1400" b="1">
                <a:solidFill>
                  <a:schemeClr val="bg1"/>
                </a:solidFill>
              </a:rPr>
              <a:t>INTERACTIVE SLICERS</a:t>
            </a:r>
          </a:p>
        </xdr:txBody>
      </xdr:sp>
      <xdr:grpSp>
        <xdr:nvGrpSpPr>
          <xdr:cNvPr id="37" name="Group 36">
            <a:extLst>
              <a:ext uri="{FF2B5EF4-FFF2-40B4-BE49-F238E27FC236}">
                <a16:creationId xmlns:a16="http://schemas.microsoft.com/office/drawing/2014/main" id="{EAF5BEBF-C066-F07B-FE42-3F07A3569292}"/>
              </a:ext>
            </a:extLst>
          </xdr:cNvPr>
          <xdr:cNvGrpSpPr/>
        </xdr:nvGrpSpPr>
        <xdr:grpSpPr>
          <a:xfrm>
            <a:off x="0" y="22860"/>
            <a:ext cx="14173200" cy="6789420"/>
            <a:chOff x="0" y="22860"/>
            <a:chExt cx="14173200" cy="6789420"/>
          </a:xfrm>
        </xdr:grpSpPr>
        <xdr:grpSp>
          <xdr:nvGrpSpPr>
            <xdr:cNvPr id="36" name="Group 35">
              <a:extLst>
                <a:ext uri="{FF2B5EF4-FFF2-40B4-BE49-F238E27FC236}">
                  <a16:creationId xmlns:a16="http://schemas.microsoft.com/office/drawing/2014/main" id="{D8A005EB-EF6E-86AF-8460-D57BDF07F8C2}"/>
                </a:ext>
              </a:extLst>
            </xdr:cNvPr>
            <xdr:cNvGrpSpPr/>
          </xdr:nvGrpSpPr>
          <xdr:grpSpPr>
            <a:xfrm>
              <a:off x="45720" y="22860"/>
              <a:ext cx="11216640" cy="1059180"/>
              <a:chOff x="45720" y="22860"/>
              <a:chExt cx="11216640" cy="1059180"/>
            </a:xfrm>
          </xdr:grpSpPr>
          <xdr:grpSp>
            <xdr:nvGrpSpPr>
              <xdr:cNvPr id="8" name="Group 7">
                <a:extLst>
                  <a:ext uri="{FF2B5EF4-FFF2-40B4-BE49-F238E27FC236}">
                    <a16:creationId xmlns:a16="http://schemas.microsoft.com/office/drawing/2014/main" id="{E27568F9-E225-0F2D-2973-71D0301741A3}"/>
                  </a:ext>
                </a:extLst>
              </xdr:cNvPr>
              <xdr:cNvGrpSpPr/>
            </xdr:nvGrpSpPr>
            <xdr:grpSpPr>
              <a:xfrm>
                <a:off x="45720" y="22860"/>
                <a:ext cx="11201400" cy="381000"/>
                <a:chOff x="45720" y="22860"/>
                <a:chExt cx="8488680" cy="502920"/>
              </a:xfrm>
            </xdr:grpSpPr>
            <xdr:sp macro="" textlink="">
              <xdr:nvSpPr>
                <xdr:cNvPr id="2" name="Rectangle: Rounded Corners 1">
                  <a:extLst>
                    <a:ext uri="{FF2B5EF4-FFF2-40B4-BE49-F238E27FC236}">
                      <a16:creationId xmlns:a16="http://schemas.microsoft.com/office/drawing/2014/main" id="{3EEEB062-94DF-8EC0-3A66-7F6729FF698B}"/>
                    </a:ext>
                  </a:extLst>
                </xdr:cNvPr>
                <xdr:cNvSpPr/>
              </xdr:nvSpPr>
              <xdr:spPr>
                <a:xfrm>
                  <a:off x="45720" y="22860"/>
                  <a:ext cx="8488680" cy="487680"/>
                </a:xfrm>
                <a:prstGeom prst="roundRect">
                  <a:avLst/>
                </a:prstGeom>
                <a:solidFill>
                  <a:srgbClr val="1E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7290E608-72D0-88FF-A7EA-07C63EF33319}"/>
                    </a:ext>
                  </a:extLst>
                </xdr:cNvPr>
                <xdr:cNvSpPr txBox="1"/>
              </xdr:nvSpPr>
              <xdr:spPr>
                <a:xfrm>
                  <a:off x="1318260" y="22860"/>
                  <a:ext cx="7056120" cy="47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COVID-19 &amp; POPULATION ANALYTICS DASHBOARD</a:t>
                  </a:r>
                </a:p>
              </xdr:txBody>
            </xdr:sp>
            <xdr:pic>
              <xdr:nvPicPr>
                <xdr:cNvPr id="5" name="Graphic 4" descr="Earth Globe - Asia with solid fill">
                  <a:extLst>
                    <a:ext uri="{FF2B5EF4-FFF2-40B4-BE49-F238E27FC236}">
                      <a16:creationId xmlns:a16="http://schemas.microsoft.com/office/drawing/2014/main" id="{9F3F5334-9216-0473-2E42-780B0AC0C5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7831" y="68580"/>
                  <a:ext cx="506850" cy="449580"/>
                </a:xfrm>
                <a:prstGeom prst="rect">
                  <a:avLst/>
                </a:prstGeom>
              </xdr:spPr>
            </xdr:pic>
            <xdr:pic>
              <xdr:nvPicPr>
                <xdr:cNvPr id="7" name="Graphic 6" descr="Germ with solid fill">
                  <a:extLst>
                    <a:ext uri="{FF2B5EF4-FFF2-40B4-BE49-F238E27FC236}">
                      <a16:creationId xmlns:a16="http://schemas.microsoft.com/office/drawing/2014/main" id="{0DF020A4-B15B-8DFA-F3FC-429C2EAAAF3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56301" y="60960"/>
                  <a:ext cx="563776" cy="464820"/>
                </a:xfrm>
                <a:prstGeom prst="rect">
                  <a:avLst/>
                </a:prstGeom>
              </xdr:spPr>
            </xdr:pic>
          </xdr:grpSp>
          <xdr:grpSp>
            <xdr:nvGrpSpPr>
              <xdr:cNvPr id="21" name="Group 20">
                <a:extLst>
                  <a:ext uri="{FF2B5EF4-FFF2-40B4-BE49-F238E27FC236}">
                    <a16:creationId xmlns:a16="http://schemas.microsoft.com/office/drawing/2014/main" id="{ECB23A5D-BEA1-2DFB-902D-7DFD5F6A4B14}"/>
                  </a:ext>
                </a:extLst>
              </xdr:cNvPr>
              <xdr:cNvGrpSpPr/>
            </xdr:nvGrpSpPr>
            <xdr:grpSpPr>
              <a:xfrm>
                <a:off x="53340" y="426720"/>
                <a:ext cx="1584960" cy="655320"/>
                <a:chOff x="30480" y="434340"/>
                <a:chExt cx="1760220" cy="723900"/>
              </a:xfrm>
            </xdr:grpSpPr>
            <xdr:sp macro="" textlink="">
              <xdr:nvSpPr>
                <xdr:cNvPr id="15" name="Rectangle: Rounded Corners 14">
                  <a:extLst>
                    <a:ext uri="{FF2B5EF4-FFF2-40B4-BE49-F238E27FC236}">
                      <a16:creationId xmlns:a16="http://schemas.microsoft.com/office/drawing/2014/main" id="{0D7C4F4C-60FA-C2B2-C083-4F78735D75AF}"/>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67BDAE4E-C4FE-3F60-E5F1-DCB7BC372F02}"/>
                    </a:ext>
                  </a:extLst>
                </xdr:cNvPr>
                <xdr:cNvSpPr txBox="1"/>
              </xdr:nvSpPr>
              <xdr:spPr>
                <a:xfrm>
                  <a:off x="216657" y="442757"/>
                  <a:ext cx="1528324"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TOTAL POPULATION</a:t>
                  </a:r>
                </a:p>
              </xdr:txBody>
            </xdr:sp>
            <xdr:sp macro="" textlink="KPI!A10">
              <xdr:nvSpPr>
                <xdr:cNvPr id="18" name="TextBox 17">
                  <a:extLst>
                    <a:ext uri="{FF2B5EF4-FFF2-40B4-BE49-F238E27FC236}">
                      <a16:creationId xmlns:a16="http://schemas.microsoft.com/office/drawing/2014/main" id="{DCBC1E5A-9616-8001-707F-C559726EF1D3}"/>
                    </a:ext>
                  </a:extLst>
                </xdr:cNvPr>
                <xdr:cNvSpPr txBox="1"/>
              </xdr:nvSpPr>
              <xdr:spPr>
                <a:xfrm>
                  <a:off x="546698" y="647700"/>
                  <a:ext cx="106112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2261FC-B924-4A10-B5DA-D3136F02215E}" type="TxLink">
                    <a:rPr lang="en-US" sz="1800" b="1" i="0" u="none" strike="noStrike">
                      <a:solidFill>
                        <a:srgbClr val="0070C0"/>
                      </a:solidFill>
                      <a:latin typeface="Calibri"/>
                      <a:cs typeface="Calibri"/>
                    </a:rPr>
                    <a:pPr/>
                    <a:t>26.02</a:t>
                  </a:fld>
                  <a:r>
                    <a:rPr lang="en-US" sz="1800" b="1" i="0" u="none" strike="noStrike">
                      <a:solidFill>
                        <a:srgbClr val="0070C0"/>
                      </a:solidFill>
                      <a:latin typeface="Calibri"/>
                      <a:cs typeface="Calibri"/>
                    </a:rPr>
                    <a:t>bn</a:t>
                  </a:r>
                  <a:endParaRPr lang="en-US" sz="1800" b="1">
                    <a:solidFill>
                      <a:srgbClr val="0070C0"/>
                    </a:solidFill>
                  </a:endParaRPr>
                </a:p>
              </xdr:txBody>
            </xdr:sp>
            <xdr:pic>
              <xdr:nvPicPr>
                <xdr:cNvPr id="20" name="Graphic 19" descr="Group of men with solid fill">
                  <a:extLst>
                    <a:ext uri="{FF2B5EF4-FFF2-40B4-BE49-F238E27FC236}">
                      <a16:creationId xmlns:a16="http://schemas.microsoft.com/office/drawing/2014/main" id="{AE4ABD77-2B17-B1BA-C39F-9F68C2D1F9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7161" y="685800"/>
                  <a:ext cx="337566" cy="289560"/>
                </a:xfrm>
                <a:prstGeom prst="rect">
                  <a:avLst/>
                </a:prstGeom>
              </xdr:spPr>
            </xdr:pic>
          </xdr:grpSp>
          <xdr:grpSp>
            <xdr:nvGrpSpPr>
              <xdr:cNvPr id="47" name="Group 46">
                <a:extLst>
                  <a:ext uri="{FF2B5EF4-FFF2-40B4-BE49-F238E27FC236}">
                    <a16:creationId xmlns:a16="http://schemas.microsoft.com/office/drawing/2014/main" id="{23635814-3CA8-4BF8-81DB-821F8C0F44FB}"/>
                  </a:ext>
                </a:extLst>
              </xdr:cNvPr>
              <xdr:cNvGrpSpPr/>
            </xdr:nvGrpSpPr>
            <xdr:grpSpPr>
              <a:xfrm>
                <a:off x="1684020" y="426720"/>
                <a:ext cx="1478280" cy="655320"/>
                <a:chOff x="30480" y="434340"/>
                <a:chExt cx="1760220" cy="723900"/>
              </a:xfrm>
            </xdr:grpSpPr>
            <xdr:sp macro="" textlink="">
              <xdr:nvSpPr>
                <xdr:cNvPr id="48" name="Rectangle: Rounded Corners 47">
                  <a:extLst>
                    <a:ext uri="{FF2B5EF4-FFF2-40B4-BE49-F238E27FC236}">
                      <a16:creationId xmlns:a16="http://schemas.microsoft.com/office/drawing/2014/main" id="{A466C5EE-F091-3276-DB1E-3C2622252F74}"/>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3E1D8D5C-78A5-03CD-7B43-1C4D8BA1507E}"/>
                    </a:ext>
                  </a:extLst>
                </xdr:cNvPr>
                <xdr:cNvSpPr txBox="1"/>
              </xdr:nvSpPr>
              <xdr:spPr>
                <a:xfrm>
                  <a:off x="368984" y="442757"/>
                  <a:ext cx="1375997"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9A4D"/>
                      </a:solidFill>
                    </a:rPr>
                    <a:t>TOTAL CASES</a:t>
                  </a:r>
                </a:p>
              </xdr:txBody>
            </xdr:sp>
            <xdr:sp macro="" textlink="KPI!B10">
              <xdr:nvSpPr>
                <xdr:cNvPr id="50" name="TextBox 49">
                  <a:extLst>
                    <a:ext uri="{FF2B5EF4-FFF2-40B4-BE49-F238E27FC236}">
                      <a16:creationId xmlns:a16="http://schemas.microsoft.com/office/drawing/2014/main" id="{E17FF6D9-440A-1AF0-09B1-15992409623A}"/>
                    </a:ext>
                  </a:extLst>
                </xdr:cNvPr>
                <xdr:cNvSpPr txBox="1"/>
              </xdr:nvSpPr>
              <xdr:spPr>
                <a:xfrm>
                  <a:off x="574878" y="670028"/>
                  <a:ext cx="1181971" cy="41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9A4D"/>
                      </a:solidFill>
                      <a:latin typeface="Calibri"/>
                      <a:cs typeface="Calibri"/>
                    </a:rPr>
                    <a:t> </a:t>
                  </a:r>
                  <a:fld id="{B560F11A-917D-4E0D-842B-95F2FBBEBD11}" type="TxLink">
                    <a:rPr lang="en-US" sz="1600" b="1" i="0" u="none" strike="noStrike">
                      <a:solidFill>
                        <a:srgbClr val="009A4D"/>
                      </a:solidFill>
                      <a:latin typeface="Calibri"/>
                      <a:cs typeface="Calibri"/>
                    </a:rPr>
                    <a:pPr/>
                    <a:t>509.73</a:t>
                  </a:fld>
                  <a:r>
                    <a:rPr lang="en-US" sz="1600" b="1" i="0" u="none" strike="noStrike">
                      <a:solidFill>
                        <a:srgbClr val="009A4D"/>
                      </a:solidFill>
                      <a:latin typeface="Calibri"/>
                      <a:cs typeface="Calibri"/>
                    </a:rPr>
                    <a:t>M</a:t>
                  </a:r>
                  <a:endParaRPr lang="en-US" sz="1600" b="1">
                    <a:solidFill>
                      <a:srgbClr val="009A4D"/>
                    </a:solidFill>
                  </a:endParaRPr>
                </a:p>
              </xdr:txBody>
            </xdr:sp>
          </xdr:grpSp>
          <xdr:grpSp>
            <xdr:nvGrpSpPr>
              <xdr:cNvPr id="52" name="Group 51">
                <a:extLst>
                  <a:ext uri="{FF2B5EF4-FFF2-40B4-BE49-F238E27FC236}">
                    <a16:creationId xmlns:a16="http://schemas.microsoft.com/office/drawing/2014/main" id="{F50B590D-F9B6-43DA-9E62-815EA9129FC9}"/>
                  </a:ext>
                </a:extLst>
              </xdr:cNvPr>
              <xdr:cNvGrpSpPr/>
            </xdr:nvGrpSpPr>
            <xdr:grpSpPr>
              <a:xfrm>
                <a:off x="3208020" y="426720"/>
                <a:ext cx="1531620" cy="655320"/>
                <a:chOff x="30480" y="434340"/>
                <a:chExt cx="1760220" cy="723900"/>
              </a:xfrm>
            </xdr:grpSpPr>
            <xdr:sp macro="" textlink="">
              <xdr:nvSpPr>
                <xdr:cNvPr id="53" name="Rectangle: Rounded Corners 52">
                  <a:extLst>
                    <a:ext uri="{FF2B5EF4-FFF2-40B4-BE49-F238E27FC236}">
                      <a16:creationId xmlns:a16="http://schemas.microsoft.com/office/drawing/2014/main" id="{EDB3D7ED-1155-B13B-2BF8-EB05771D4B42}"/>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BA79D4BC-B887-938A-F365-588F0A9E8467}"/>
                    </a:ext>
                  </a:extLst>
                </xdr:cNvPr>
                <xdr:cNvSpPr txBox="1"/>
              </xdr:nvSpPr>
              <xdr:spPr>
                <a:xfrm>
                  <a:off x="216657" y="442757"/>
                  <a:ext cx="1528324"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  TOTAL DEATHS</a:t>
                  </a:r>
                </a:p>
              </xdr:txBody>
            </xdr:sp>
            <xdr:sp macro="" textlink="KPI!C10">
              <xdr:nvSpPr>
                <xdr:cNvPr id="55" name="TextBox 54">
                  <a:extLst>
                    <a:ext uri="{FF2B5EF4-FFF2-40B4-BE49-F238E27FC236}">
                      <a16:creationId xmlns:a16="http://schemas.microsoft.com/office/drawing/2014/main" id="{848F373B-4077-3EAF-508A-B974F2AAC3D0}"/>
                    </a:ext>
                  </a:extLst>
                </xdr:cNvPr>
                <xdr:cNvSpPr txBox="1"/>
              </xdr:nvSpPr>
              <xdr:spPr>
                <a:xfrm>
                  <a:off x="555161" y="661611"/>
                  <a:ext cx="1034120" cy="370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FF0000"/>
                      </a:solidFill>
                      <a:latin typeface="Calibri"/>
                      <a:cs typeface="Calibri"/>
                    </a:rPr>
                    <a:t> </a:t>
                  </a:r>
                  <a:fld id="{F51CBB18-6D5B-4A27-9A7A-0B1A0DE0A795}" type="TxLink">
                    <a:rPr lang="en-US" sz="1600" b="1" i="0" u="none" strike="noStrike">
                      <a:solidFill>
                        <a:srgbClr val="FF0000"/>
                      </a:solidFill>
                      <a:latin typeface="Calibri"/>
                      <a:cs typeface="Calibri"/>
                    </a:rPr>
                    <a:pPr/>
                    <a:t>24.14</a:t>
                  </a:fld>
                  <a:r>
                    <a:rPr lang="en-US" sz="1600" b="1" i="0" u="none" strike="noStrike">
                      <a:solidFill>
                        <a:srgbClr val="FF0000"/>
                      </a:solidFill>
                      <a:latin typeface="Calibri"/>
                      <a:cs typeface="Calibri"/>
                    </a:rPr>
                    <a:t>M</a:t>
                  </a:r>
                  <a:endParaRPr lang="en-US" sz="1600" b="1">
                    <a:solidFill>
                      <a:srgbClr val="FF0000"/>
                    </a:solidFill>
                  </a:endParaRPr>
                </a:p>
              </xdr:txBody>
            </xdr:sp>
          </xdr:grpSp>
          <xdr:grpSp>
            <xdr:nvGrpSpPr>
              <xdr:cNvPr id="57" name="Group 56">
                <a:extLst>
                  <a:ext uri="{FF2B5EF4-FFF2-40B4-BE49-F238E27FC236}">
                    <a16:creationId xmlns:a16="http://schemas.microsoft.com/office/drawing/2014/main" id="{4160CA7D-2C94-4602-9BA1-F826AD6B1DE1}"/>
                  </a:ext>
                </a:extLst>
              </xdr:cNvPr>
              <xdr:cNvGrpSpPr/>
            </xdr:nvGrpSpPr>
            <xdr:grpSpPr>
              <a:xfrm>
                <a:off x="4785360" y="426720"/>
                <a:ext cx="1584960" cy="655320"/>
                <a:chOff x="30480" y="434340"/>
                <a:chExt cx="1760220" cy="723900"/>
              </a:xfrm>
            </xdr:grpSpPr>
            <xdr:sp macro="" textlink="">
              <xdr:nvSpPr>
                <xdr:cNvPr id="58" name="Rectangle: Rounded Corners 57">
                  <a:extLst>
                    <a:ext uri="{FF2B5EF4-FFF2-40B4-BE49-F238E27FC236}">
                      <a16:creationId xmlns:a16="http://schemas.microsoft.com/office/drawing/2014/main" id="{A116C508-F470-3DC8-845F-2ACAC9A6A85E}"/>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43CB102D-A201-8285-8094-71D95B146353}"/>
                    </a:ext>
                  </a:extLst>
                </xdr:cNvPr>
                <xdr:cNvSpPr txBox="1"/>
              </xdr:nvSpPr>
              <xdr:spPr>
                <a:xfrm>
                  <a:off x="216657" y="442757"/>
                  <a:ext cx="1528324"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rPr>
                    <a:t>TOTAL RECOVERED</a:t>
                  </a:r>
                </a:p>
              </xdr:txBody>
            </xdr:sp>
            <xdr:sp macro="" textlink="KPI!D10">
              <xdr:nvSpPr>
                <xdr:cNvPr id="60" name="TextBox 59">
                  <a:extLst>
                    <a:ext uri="{FF2B5EF4-FFF2-40B4-BE49-F238E27FC236}">
                      <a16:creationId xmlns:a16="http://schemas.microsoft.com/office/drawing/2014/main" id="{DB368636-5223-A468-CFEA-45FEB68609F5}"/>
                    </a:ext>
                  </a:extLst>
                </xdr:cNvPr>
                <xdr:cNvSpPr txBox="1"/>
              </xdr:nvSpPr>
              <xdr:spPr>
                <a:xfrm>
                  <a:off x="563624" y="647700"/>
                  <a:ext cx="104419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0E4FF5-D92D-4506-BDBC-040915514CE7}" type="TxLink">
                    <a:rPr lang="en-US" sz="1600" b="1" i="0" u="none" strike="noStrike">
                      <a:solidFill>
                        <a:schemeClr val="accent4">
                          <a:lumMod val="75000"/>
                        </a:schemeClr>
                      </a:solidFill>
                      <a:latin typeface="Calibri"/>
                      <a:cs typeface="Calibri"/>
                    </a:rPr>
                    <a:pPr/>
                    <a:t>447.43</a:t>
                  </a:fld>
                  <a:r>
                    <a:rPr lang="en-US" sz="1600" b="1" i="0" u="none" strike="noStrike">
                      <a:solidFill>
                        <a:schemeClr val="accent4">
                          <a:lumMod val="75000"/>
                        </a:schemeClr>
                      </a:solidFill>
                      <a:latin typeface="Calibri"/>
                      <a:cs typeface="Calibri"/>
                    </a:rPr>
                    <a:t>M</a:t>
                  </a:r>
                  <a:endParaRPr lang="en-US" sz="1600" b="1">
                    <a:solidFill>
                      <a:schemeClr val="accent4">
                        <a:lumMod val="75000"/>
                      </a:schemeClr>
                    </a:solidFill>
                  </a:endParaRPr>
                </a:p>
              </xdr:txBody>
            </xdr:sp>
          </xdr:grpSp>
          <xdr:grpSp>
            <xdr:nvGrpSpPr>
              <xdr:cNvPr id="62" name="Group 61">
                <a:extLst>
                  <a:ext uri="{FF2B5EF4-FFF2-40B4-BE49-F238E27FC236}">
                    <a16:creationId xmlns:a16="http://schemas.microsoft.com/office/drawing/2014/main" id="{B6E01716-7D07-4479-82D5-AAEF8B444098}"/>
                  </a:ext>
                </a:extLst>
              </xdr:cNvPr>
              <xdr:cNvGrpSpPr/>
            </xdr:nvGrpSpPr>
            <xdr:grpSpPr>
              <a:xfrm>
                <a:off x="6408420" y="426720"/>
                <a:ext cx="1584960" cy="655320"/>
                <a:chOff x="30480" y="434340"/>
                <a:chExt cx="1760220" cy="723900"/>
              </a:xfrm>
            </xdr:grpSpPr>
            <xdr:sp macro="" textlink="">
              <xdr:nvSpPr>
                <xdr:cNvPr id="63" name="Rectangle: Rounded Corners 62">
                  <a:extLst>
                    <a:ext uri="{FF2B5EF4-FFF2-40B4-BE49-F238E27FC236}">
                      <a16:creationId xmlns:a16="http://schemas.microsoft.com/office/drawing/2014/main" id="{308DFD43-4A8D-6ED3-738A-8B747C91C85F}"/>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501E8776-E9BE-1B71-D7B3-1BBBD781FB20}"/>
                    </a:ext>
                  </a:extLst>
                </xdr:cNvPr>
                <xdr:cNvSpPr txBox="1"/>
              </xdr:nvSpPr>
              <xdr:spPr>
                <a:xfrm>
                  <a:off x="216657" y="442757"/>
                  <a:ext cx="1528324"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75000"/>
                        </a:schemeClr>
                      </a:solidFill>
                    </a:rPr>
                    <a:t>   ACTIVE</a:t>
                  </a:r>
                  <a:r>
                    <a:rPr lang="en-IN" sz="1100" b="1" baseline="0">
                      <a:solidFill>
                        <a:schemeClr val="accent6">
                          <a:lumMod val="75000"/>
                        </a:schemeClr>
                      </a:solidFill>
                    </a:rPr>
                    <a:t> CASES</a:t>
                  </a:r>
                  <a:endParaRPr lang="en-IN" sz="1100" b="1">
                    <a:solidFill>
                      <a:schemeClr val="accent6">
                        <a:lumMod val="75000"/>
                      </a:schemeClr>
                    </a:solidFill>
                  </a:endParaRPr>
                </a:p>
              </xdr:txBody>
            </xdr:sp>
            <xdr:sp macro="" textlink="KPI!F10">
              <xdr:nvSpPr>
                <xdr:cNvPr id="65" name="TextBox 64">
                  <a:extLst>
                    <a:ext uri="{FF2B5EF4-FFF2-40B4-BE49-F238E27FC236}">
                      <a16:creationId xmlns:a16="http://schemas.microsoft.com/office/drawing/2014/main" id="{C2076AEF-3BF1-207A-CE4F-2B90E52DCBC3}"/>
                    </a:ext>
                  </a:extLst>
                </xdr:cNvPr>
                <xdr:cNvSpPr txBox="1"/>
              </xdr:nvSpPr>
              <xdr:spPr>
                <a:xfrm>
                  <a:off x="546698" y="647700"/>
                  <a:ext cx="106112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4C3CB5-F627-4FFB-A7C5-473F60F93523}" type="TxLink">
                    <a:rPr lang="en-US" sz="1600" b="1" i="0" u="none" strike="noStrike">
                      <a:solidFill>
                        <a:schemeClr val="accent6">
                          <a:lumMod val="75000"/>
                        </a:schemeClr>
                      </a:solidFill>
                      <a:latin typeface="Calibri"/>
                      <a:cs typeface="Calibri"/>
                    </a:rPr>
                    <a:pPr/>
                    <a:t>240.11</a:t>
                  </a:fld>
                  <a:r>
                    <a:rPr lang="en-US" sz="1600" b="1" i="0" u="none" strike="noStrike">
                      <a:solidFill>
                        <a:schemeClr val="accent6">
                          <a:lumMod val="75000"/>
                        </a:schemeClr>
                      </a:solidFill>
                      <a:latin typeface="Calibri"/>
                      <a:cs typeface="Calibri"/>
                    </a:rPr>
                    <a:t>M</a:t>
                  </a:r>
                  <a:endParaRPr lang="en-US" sz="1600" b="1">
                    <a:solidFill>
                      <a:schemeClr val="accent6">
                        <a:lumMod val="75000"/>
                      </a:schemeClr>
                    </a:solidFill>
                  </a:endParaRPr>
                </a:p>
              </xdr:txBody>
            </xdr:sp>
          </xdr:grpSp>
          <xdr:grpSp>
            <xdr:nvGrpSpPr>
              <xdr:cNvPr id="67" name="Group 66">
                <a:extLst>
                  <a:ext uri="{FF2B5EF4-FFF2-40B4-BE49-F238E27FC236}">
                    <a16:creationId xmlns:a16="http://schemas.microsoft.com/office/drawing/2014/main" id="{76C3F1DB-8FA3-457B-85CC-D767D680780F}"/>
                  </a:ext>
                </a:extLst>
              </xdr:cNvPr>
              <xdr:cNvGrpSpPr/>
            </xdr:nvGrpSpPr>
            <xdr:grpSpPr>
              <a:xfrm>
                <a:off x="8039100" y="426720"/>
                <a:ext cx="1706880" cy="655320"/>
                <a:chOff x="30480" y="434340"/>
                <a:chExt cx="1887159" cy="723900"/>
              </a:xfrm>
            </xdr:grpSpPr>
            <xdr:sp macro="" textlink="">
              <xdr:nvSpPr>
                <xdr:cNvPr id="68" name="Rectangle: Rounded Corners 67">
                  <a:extLst>
                    <a:ext uri="{FF2B5EF4-FFF2-40B4-BE49-F238E27FC236}">
                      <a16:creationId xmlns:a16="http://schemas.microsoft.com/office/drawing/2014/main" id="{B67F4942-EBB1-7CB1-1686-93E78984E2DD}"/>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TextBox 68">
                  <a:extLst>
                    <a:ext uri="{FF2B5EF4-FFF2-40B4-BE49-F238E27FC236}">
                      <a16:creationId xmlns:a16="http://schemas.microsoft.com/office/drawing/2014/main" id="{263815B3-498A-15E6-B5A5-35F2636AC1F1}"/>
                    </a:ext>
                  </a:extLst>
                </xdr:cNvPr>
                <xdr:cNvSpPr txBox="1"/>
              </xdr:nvSpPr>
              <xdr:spPr>
                <a:xfrm>
                  <a:off x="30480" y="434340"/>
                  <a:ext cx="188715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AVG</a:t>
                  </a:r>
                  <a:r>
                    <a:rPr lang="en-IN" sz="1100" b="1" baseline="0">
                      <a:solidFill>
                        <a:srgbClr val="00B0F0"/>
                      </a:solidFill>
                    </a:rPr>
                    <a:t> VACCINATION RATE</a:t>
                  </a:r>
                  <a:endParaRPr lang="en-IN" sz="1100" b="1">
                    <a:solidFill>
                      <a:srgbClr val="00B0F0"/>
                    </a:solidFill>
                  </a:endParaRPr>
                </a:p>
              </xdr:txBody>
            </xdr:sp>
            <xdr:sp macro="" textlink="KPI!G10">
              <xdr:nvSpPr>
                <xdr:cNvPr id="70" name="TextBox 69">
                  <a:extLst>
                    <a:ext uri="{FF2B5EF4-FFF2-40B4-BE49-F238E27FC236}">
                      <a16:creationId xmlns:a16="http://schemas.microsoft.com/office/drawing/2014/main" id="{ADA2D68E-1D21-8941-87C4-FA060CF61D25}"/>
                    </a:ext>
                  </a:extLst>
                </xdr:cNvPr>
                <xdr:cNvSpPr txBox="1"/>
              </xdr:nvSpPr>
              <xdr:spPr>
                <a:xfrm>
                  <a:off x="529773" y="647700"/>
                  <a:ext cx="131170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7A0766-57F7-41D6-B692-C202FB25DAC1}" type="TxLink">
                    <a:rPr lang="en-US" sz="1600" b="0" i="0" u="none" strike="noStrike">
                      <a:solidFill>
                        <a:srgbClr val="00B0F0"/>
                      </a:solidFill>
                      <a:latin typeface="Calibri"/>
                      <a:cs typeface="Calibri"/>
                    </a:rPr>
                    <a:pPr/>
                    <a:t>49.60114</a:t>
                  </a:fld>
                  <a:r>
                    <a:rPr lang="en-US" sz="1600" b="0" i="0" u="none" strike="noStrike">
                      <a:solidFill>
                        <a:srgbClr val="00B0F0"/>
                      </a:solidFill>
                      <a:latin typeface="Calibri"/>
                      <a:cs typeface="Calibri"/>
                    </a:rPr>
                    <a:t>M</a:t>
                  </a:r>
                  <a:endParaRPr lang="en-US" sz="1600" b="1">
                    <a:solidFill>
                      <a:srgbClr val="00B0F0"/>
                    </a:solidFill>
                  </a:endParaRPr>
                </a:p>
              </xdr:txBody>
            </xdr:sp>
          </xdr:grpSp>
          <xdr:grpSp>
            <xdr:nvGrpSpPr>
              <xdr:cNvPr id="72" name="Group 71">
                <a:extLst>
                  <a:ext uri="{FF2B5EF4-FFF2-40B4-BE49-F238E27FC236}">
                    <a16:creationId xmlns:a16="http://schemas.microsoft.com/office/drawing/2014/main" id="{EDE53691-477E-4C12-B1C8-A1878D78B921}"/>
                  </a:ext>
                </a:extLst>
              </xdr:cNvPr>
              <xdr:cNvGrpSpPr/>
            </xdr:nvGrpSpPr>
            <xdr:grpSpPr>
              <a:xfrm>
                <a:off x="9677400" y="426720"/>
                <a:ext cx="1584960" cy="655320"/>
                <a:chOff x="30480" y="434340"/>
                <a:chExt cx="1760220" cy="723900"/>
              </a:xfrm>
            </xdr:grpSpPr>
            <xdr:sp macro="" textlink="">
              <xdr:nvSpPr>
                <xdr:cNvPr id="73" name="Rectangle: Rounded Corners 72">
                  <a:extLst>
                    <a:ext uri="{FF2B5EF4-FFF2-40B4-BE49-F238E27FC236}">
                      <a16:creationId xmlns:a16="http://schemas.microsoft.com/office/drawing/2014/main" id="{7725D1A0-8401-97B2-9D04-58425D50637E}"/>
                    </a:ext>
                  </a:extLst>
                </xdr:cNvPr>
                <xdr:cNvSpPr/>
              </xdr:nvSpPr>
              <xdr:spPr>
                <a:xfrm>
                  <a:off x="30480" y="434340"/>
                  <a:ext cx="1760220" cy="723900"/>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TextBox 73">
                  <a:extLst>
                    <a:ext uri="{FF2B5EF4-FFF2-40B4-BE49-F238E27FC236}">
                      <a16:creationId xmlns:a16="http://schemas.microsoft.com/office/drawing/2014/main" id="{445F9DA2-CB56-034B-0899-593349DBFE64}"/>
                    </a:ext>
                  </a:extLst>
                </xdr:cNvPr>
                <xdr:cNvSpPr txBox="1"/>
              </xdr:nvSpPr>
              <xdr:spPr>
                <a:xfrm>
                  <a:off x="216657" y="442757"/>
                  <a:ext cx="1528324" cy="258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92D050"/>
                      </a:solidFill>
                    </a:rPr>
                    <a:t>RECOVERY</a:t>
                  </a:r>
                  <a:r>
                    <a:rPr lang="en-IN" sz="1100" b="1" baseline="0">
                      <a:solidFill>
                        <a:srgbClr val="92D050"/>
                      </a:solidFill>
                    </a:rPr>
                    <a:t> RATE %</a:t>
                  </a:r>
                  <a:endParaRPr lang="en-IN" sz="1100" b="1">
                    <a:solidFill>
                      <a:srgbClr val="92D050"/>
                    </a:solidFill>
                  </a:endParaRPr>
                </a:p>
              </xdr:txBody>
            </xdr:sp>
            <xdr:sp macro="" textlink="KPI!A10">
              <xdr:nvSpPr>
                <xdr:cNvPr id="75" name="TextBox 74">
                  <a:extLst>
                    <a:ext uri="{FF2B5EF4-FFF2-40B4-BE49-F238E27FC236}">
                      <a16:creationId xmlns:a16="http://schemas.microsoft.com/office/drawing/2014/main" id="{D9FE79A5-7133-39AB-EDDB-3E2FE312A3F4}"/>
                    </a:ext>
                  </a:extLst>
                </xdr:cNvPr>
                <xdr:cNvSpPr txBox="1"/>
              </xdr:nvSpPr>
              <xdr:spPr>
                <a:xfrm>
                  <a:off x="617221" y="647700"/>
                  <a:ext cx="9906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2261FC-B924-4A10-B5DA-D3136F02215E}" type="TxLink">
                    <a:rPr lang="en-US" sz="1800" b="1" i="0" u="none" strike="noStrike">
                      <a:solidFill>
                        <a:srgbClr val="92D050"/>
                      </a:solidFill>
                      <a:latin typeface="Calibri"/>
                      <a:cs typeface="Calibri"/>
                    </a:rPr>
                    <a:pPr/>
                    <a:t>26.02</a:t>
                  </a:fld>
                  <a:endParaRPr lang="en-US" sz="1800" b="1">
                    <a:solidFill>
                      <a:srgbClr val="92D050"/>
                    </a:solidFill>
                  </a:endParaRPr>
                </a:p>
              </xdr:txBody>
            </xdr:sp>
          </xdr:grpSp>
          <xdr:pic>
            <xdr:nvPicPr>
              <xdr:cNvPr id="77" name="Graphic 76" descr="Germ with solid fill">
                <a:extLst>
                  <a:ext uri="{FF2B5EF4-FFF2-40B4-BE49-F238E27FC236}">
                    <a16:creationId xmlns:a16="http://schemas.microsoft.com/office/drawing/2014/main" id="{15BC92E2-E925-4D9B-911A-00946E6390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60221" y="655320"/>
                <a:ext cx="411479" cy="274320"/>
              </a:xfrm>
              <a:prstGeom prst="rect">
                <a:avLst/>
              </a:prstGeom>
            </xdr:spPr>
          </xdr:pic>
          <xdr:pic>
            <xdr:nvPicPr>
              <xdr:cNvPr id="6" name="Graphic 5" descr="Broken Heart with solid fill">
                <a:extLst>
                  <a:ext uri="{FF2B5EF4-FFF2-40B4-BE49-F238E27FC236}">
                    <a16:creationId xmlns:a16="http://schemas.microsoft.com/office/drawing/2014/main" id="{D47A9702-CBA7-A8EB-0A6C-8E37BC9B2C3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61360" y="632460"/>
                <a:ext cx="441960" cy="365760"/>
              </a:xfrm>
              <a:prstGeom prst="rect">
                <a:avLst/>
              </a:prstGeom>
            </xdr:spPr>
          </xdr:pic>
          <xdr:pic>
            <xdr:nvPicPr>
              <xdr:cNvPr id="10" name="Graphic 9" descr="Medical with solid fill">
                <a:extLst>
                  <a:ext uri="{FF2B5EF4-FFF2-40B4-BE49-F238E27FC236}">
                    <a16:creationId xmlns:a16="http://schemas.microsoft.com/office/drawing/2014/main" id="{A5DFE4D6-4CFA-8968-46ED-CF40D36CB1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84420" y="632460"/>
                <a:ext cx="403860" cy="365760"/>
              </a:xfrm>
              <a:prstGeom prst="rect">
                <a:avLst/>
              </a:prstGeom>
            </xdr:spPr>
          </xdr:pic>
          <xdr:pic>
            <xdr:nvPicPr>
              <xdr:cNvPr id="12" name="Graphic 11" descr="Cough with solid fill">
                <a:extLst>
                  <a:ext uri="{FF2B5EF4-FFF2-40B4-BE49-F238E27FC236}">
                    <a16:creationId xmlns:a16="http://schemas.microsoft.com/office/drawing/2014/main" id="{420215A9-888F-9C9E-5B2D-5966ADB800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484620" y="655320"/>
                <a:ext cx="396240" cy="304800"/>
              </a:xfrm>
              <a:prstGeom prst="rect">
                <a:avLst/>
              </a:prstGeom>
            </xdr:spPr>
          </xdr:pic>
          <xdr:pic>
            <xdr:nvPicPr>
              <xdr:cNvPr id="19" name="Graphic 18" descr="Needle outline">
                <a:extLst>
                  <a:ext uri="{FF2B5EF4-FFF2-40B4-BE49-F238E27FC236}">
                    <a16:creationId xmlns:a16="http://schemas.microsoft.com/office/drawing/2014/main" id="{58C97D48-D740-FCCC-10D8-651F50A02D2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22920" y="640080"/>
                <a:ext cx="434340" cy="342900"/>
              </a:xfrm>
              <a:prstGeom prst="rect">
                <a:avLst/>
              </a:prstGeom>
            </xdr:spPr>
          </xdr:pic>
          <xdr:pic>
            <xdr:nvPicPr>
              <xdr:cNvPr id="23" name="Graphic 22" descr="Care with solid fill">
                <a:extLst>
                  <a:ext uri="{FF2B5EF4-FFF2-40B4-BE49-F238E27FC236}">
                    <a16:creationId xmlns:a16="http://schemas.microsoft.com/office/drawing/2014/main" id="{CA569476-2E9E-DFB8-8037-CE0E3BEF10B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53600" y="640080"/>
                <a:ext cx="464820" cy="342900"/>
              </a:xfrm>
              <a:prstGeom prst="rect">
                <a:avLst/>
              </a:prstGeom>
            </xdr:spPr>
          </xdr:pic>
        </xdr:grpSp>
        <xdr:graphicFrame macro="">
          <xdr:nvGraphicFramePr>
            <xdr:cNvPr id="4" name="Chart 3">
              <a:extLst>
                <a:ext uri="{FF2B5EF4-FFF2-40B4-BE49-F238E27FC236}">
                  <a16:creationId xmlns:a16="http://schemas.microsoft.com/office/drawing/2014/main" id="{1CB69BFC-1F4C-458E-89D7-0B0C1614FD28}"/>
                </a:ext>
              </a:extLst>
            </xdr:cNvPr>
            <xdr:cNvGraphicFramePr>
              <a:graphicFrameLocks/>
            </xdr:cNvGraphicFramePr>
          </xdr:nvGraphicFramePr>
          <xdr:xfrm>
            <a:off x="0" y="1143000"/>
            <a:ext cx="3444240" cy="144018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9" name="Chart 8">
              <a:extLst>
                <a:ext uri="{FF2B5EF4-FFF2-40B4-BE49-F238E27FC236}">
                  <a16:creationId xmlns:a16="http://schemas.microsoft.com/office/drawing/2014/main" id="{1B0A34C8-3C86-4717-9802-CDDBF89CC978}"/>
                </a:ext>
              </a:extLst>
            </xdr:cNvPr>
            <xdr:cNvGraphicFramePr>
              <a:graphicFrameLocks/>
            </xdr:cNvGraphicFramePr>
          </xdr:nvGraphicFramePr>
          <xdr:xfrm>
            <a:off x="3467100" y="1158240"/>
            <a:ext cx="4290060" cy="145542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1" name="Chart 10">
              <a:extLst>
                <a:ext uri="{FF2B5EF4-FFF2-40B4-BE49-F238E27FC236}">
                  <a16:creationId xmlns:a16="http://schemas.microsoft.com/office/drawing/2014/main" id="{E9C70580-222F-4A6C-97D9-7A9F47B6DF46}"/>
                </a:ext>
              </a:extLst>
            </xdr:cNvPr>
            <xdr:cNvGraphicFramePr>
              <a:graphicFrameLocks/>
            </xdr:cNvGraphicFramePr>
          </xdr:nvGraphicFramePr>
          <xdr:xfrm>
            <a:off x="0" y="2613660"/>
            <a:ext cx="3436620" cy="209550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22" name="Chart 21">
              <a:extLst>
                <a:ext uri="{FF2B5EF4-FFF2-40B4-BE49-F238E27FC236}">
                  <a16:creationId xmlns:a16="http://schemas.microsoft.com/office/drawing/2014/main" id="{228D0A29-5DAE-4D77-870F-30787ADC65FD}"/>
                </a:ext>
              </a:extLst>
            </xdr:cNvPr>
            <xdr:cNvGraphicFramePr>
              <a:graphicFrameLocks/>
            </xdr:cNvGraphicFramePr>
          </xdr:nvGraphicFramePr>
          <xdr:xfrm>
            <a:off x="3482340" y="2644140"/>
            <a:ext cx="3947160" cy="208026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25" name="Chart 24">
              <a:extLst>
                <a:ext uri="{FF2B5EF4-FFF2-40B4-BE49-F238E27FC236}">
                  <a16:creationId xmlns:a16="http://schemas.microsoft.com/office/drawing/2014/main" id="{0A685988-9A00-4E99-8F51-FC672FA96C95}"/>
                </a:ext>
              </a:extLst>
            </xdr:cNvPr>
            <xdr:cNvGraphicFramePr>
              <a:graphicFrameLocks/>
            </xdr:cNvGraphicFramePr>
          </xdr:nvGraphicFramePr>
          <xdr:xfrm>
            <a:off x="7429500" y="2613660"/>
            <a:ext cx="3870960" cy="2125980"/>
          </xdr:xfrm>
          <a:graphic>
            <a:graphicData uri="http://schemas.openxmlformats.org/drawingml/2006/chart">
              <c:chart xmlns:c="http://schemas.openxmlformats.org/drawingml/2006/chart" xmlns:r="http://schemas.openxmlformats.org/officeDocument/2006/relationships" r:id="rId22"/>
            </a:graphicData>
          </a:graphic>
        </xdr:graphicFrame>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6AF5A5B9-5B6E-4142-BF91-56343561D747}"/>
                    </a:ext>
                  </a:extLst>
                </xdr:cNvPr>
                <xdr:cNvGraphicFramePr/>
              </xdr:nvGraphicFramePr>
              <xdr:xfrm>
                <a:off x="0" y="4754880"/>
                <a:ext cx="3817620" cy="203454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0" y="4754880"/>
                  <a:ext cx="3817620" cy="2034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7" name="Chart 26">
              <a:extLst>
                <a:ext uri="{FF2B5EF4-FFF2-40B4-BE49-F238E27FC236}">
                  <a16:creationId xmlns:a16="http://schemas.microsoft.com/office/drawing/2014/main" id="{F4FEE0EB-2834-4663-8F4A-E1061FBB1B9C}"/>
                </a:ext>
              </a:extLst>
            </xdr:cNvPr>
            <xdr:cNvGraphicFramePr>
              <a:graphicFrameLocks/>
            </xdr:cNvGraphicFramePr>
          </xdr:nvGraphicFramePr>
          <xdr:xfrm>
            <a:off x="3870960" y="4770120"/>
            <a:ext cx="3566160" cy="2026920"/>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29" name="Chart 28">
              <a:extLst>
                <a:ext uri="{FF2B5EF4-FFF2-40B4-BE49-F238E27FC236}">
                  <a16:creationId xmlns:a16="http://schemas.microsoft.com/office/drawing/2014/main" id="{4B359BD8-5682-4EAC-84EB-170269DCED60}"/>
                </a:ext>
              </a:extLst>
            </xdr:cNvPr>
            <xdr:cNvGraphicFramePr>
              <a:graphicFrameLocks/>
            </xdr:cNvGraphicFramePr>
          </xdr:nvGraphicFramePr>
          <xdr:xfrm>
            <a:off x="7498080" y="4777740"/>
            <a:ext cx="3817620" cy="2019300"/>
          </xdr:xfrm>
          <a:graphic>
            <a:graphicData uri="http://schemas.openxmlformats.org/drawingml/2006/chart">
              <c:chart xmlns:c="http://schemas.openxmlformats.org/drawingml/2006/chart" xmlns:r="http://schemas.openxmlformats.org/officeDocument/2006/relationships" r:id="rId25"/>
            </a:graphicData>
          </a:graphic>
        </xdr:graphicFrame>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43845B4E-CB52-4FFF-BBEE-E19533AF151A}"/>
                    </a:ext>
                  </a:extLst>
                </xdr:cNvPr>
                <xdr:cNvGraphicFramePr/>
              </xdr:nvGraphicFramePr>
              <xdr:xfrm>
                <a:off x="11300460" y="365760"/>
                <a:ext cx="1447800" cy="2285999"/>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300460" y="365760"/>
                  <a:ext cx="144780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State_Region 1">
                  <a:extLst>
                    <a:ext uri="{FF2B5EF4-FFF2-40B4-BE49-F238E27FC236}">
                      <a16:creationId xmlns:a16="http://schemas.microsoft.com/office/drawing/2014/main" id="{049D444B-4C99-4260-B10F-E398CDF35271}"/>
                    </a:ext>
                  </a:extLst>
                </xdr:cNvPr>
                <xdr:cNvGraphicFramePr/>
              </xdr:nvGraphicFramePr>
              <xdr:xfrm>
                <a:off x="12763500" y="358141"/>
                <a:ext cx="1386840" cy="1699259"/>
              </xdr:xfrm>
              <a:graphic>
                <a:graphicData uri="http://schemas.microsoft.com/office/drawing/2010/slicer">
                  <sle:slicer xmlns:sle="http://schemas.microsoft.com/office/drawing/2010/slicer" name="State_Region 1"/>
                </a:graphicData>
              </a:graphic>
            </xdr:graphicFrame>
          </mc:Choice>
          <mc:Fallback xmlns="">
            <xdr:sp macro="" textlink="">
              <xdr:nvSpPr>
                <xdr:cNvPr id="0" name=""/>
                <xdr:cNvSpPr>
                  <a:spLocks noTextEdit="1"/>
                </xdr:cNvSpPr>
              </xdr:nvSpPr>
              <xdr:spPr>
                <a:xfrm>
                  <a:off x="12763500" y="358141"/>
                  <a:ext cx="138684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City 1">
                  <a:extLst>
                    <a:ext uri="{FF2B5EF4-FFF2-40B4-BE49-F238E27FC236}">
                      <a16:creationId xmlns:a16="http://schemas.microsoft.com/office/drawing/2014/main" id="{CFB37428-0EB8-48A4-B5FC-EDDCCA2B0E6F}"/>
                    </a:ext>
                  </a:extLst>
                </xdr:cNvPr>
                <xdr:cNvGraphicFramePr/>
              </xdr:nvGraphicFramePr>
              <xdr:xfrm>
                <a:off x="11338560" y="2674620"/>
                <a:ext cx="1463040" cy="273558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338560" y="2674620"/>
                  <a:ext cx="146304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34" name="Date 1">
                  <a:extLst>
                    <a:ext uri="{FF2B5EF4-FFF2-40B4-BE49-F238E27FC236}">
                      <a16:creationId xmlns:a16="http://schemas.microsoft.com/office/drawing/2014/main" id="{07262189-B0D5-4F7C-8E4C-3B134D9D05ED}"/>
                    </a:ext>
                  </a:extLst>
                </xdr:cNvPr>
                <xdr:cNvGraphicFramePr/>
              </xdr:nvGraphicFramePr>
              <xdr:xfrm>
                <a:off x="11346180" y="5440680"/>
                <a:ext cx="2819400" cy="137160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346180" y="5440680"/>
                  <a:ext cx="2819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5" name="Median_Age 1">
                  <a:extLst>
                    <a:ext uri="{FF2B5EF4-FFF2-40B4-BE49-F238E27FC236}">
                      <a16:creationId xmlns:a16="http://schemas.microsoft.com/office/drawing/2014/main" id="{83A0CF96-309E-4CA4-820C-C516D8884DE3}"/>
                    </a:ext>
                  </a:extLst>
                </xdr:cNvPr>
                <xdr:cNvGraphicFramePr/>
              </xdr:nvGraphicFramePr>
              <xdr:xfrm>
                <a:off x="12801600" y="2110740"/>
                <a:ext cx="1371600" cy="3299460"/>
              </xdr:xfrm>
              <a:graphic>
                <a:graphicData uri="http://schemas.microsoft.com/office/drawing/2010/slicer">
                  <sle:slicer xmlns:sle="http://schemas.microsoft.com/office/drawing/2010/slicer" name="Median_Age 1"/>
                </a:graphicData>
              </a:graphic>
            </xdr:graphicFrame>
          </mc:Choice>
          <mc:Fallback xmlns="">
            <xdr:sp macro="" textlink="">
              <xdr:nvSpPr>
                <xdr:cNvPr id="0" name=""/>
                <xdr:cNvSpPr>
                  <a:spLocks noTextEdit="1"/>
                </xdr:cNvSpPr>
              </xdr:nvSpPr>
              <xdr:spPr>
                <a:xfrm>
                  <a:off x="12801600" y="2110740"/>
                  <a:ext cx="1371600" cy="3299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drawings/drawing12.xml><?xml version="1.0" encoding="utf-8"?>
<c:userShapes xmlns:c="http://schemas.openxmlformats.org/drawingml/2006/chart">
  <cdr:relSizeAnchor xmlns:cdr="http://schemas.openxmlformats.org/drawingml/2006/chartDrawing">
    <cdr:from>
      <cdr:x>0.19955</cdr:x>
      <cdr:y>0.02632</cdr:y>
    </cdr:from>
    <cdr:to>
      <cdr:x>0.78475</cdr:x>
      <cdr:y>0.23684</cdr:y>
    </cdr:to>
    <cdr:sp macro="" textlink="">
      <cdr:nvSpPr>
        <cdr:cNvPr id="2" name="TextBox 1">
          <a:extLst xmlns:a="http://schemas.openxmlformats.org/drawingml/2006/main">
            <a:ext uri="{FF2B5EF4-FFF2-40B4-BE49-F238E27FC236}">
              <a16:creationId xmlns:a16="http://schemas.microsoft.com/office/drawing/2014/main" id="{B9A1A370-B70E-BA37-5F0E-41061028C921}"/>
            </a:ext>
          </a:extLst>
        </cdr:cNvPr>
        <cdr:cNvSpPr txBox="1"/>
      </cdr:nvSpPr>
      <cdr:spPr>
        <a:xfrm xmlns:a="http://schemas.openxmlformats.org/drawingml/2006/main">
          <a:off x="678180" y="38100"/>
          <a:ext cx="198882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70C0"/>
              </a:solidFill>
            </a:rPr>
            <a:t>TOP 7 COUNTRIES BY DEATH</a:t>
          </a:r>
        </a:p>
      </cdr:txBody>
    </cdr:sp>
  </cdr:relSizeAnchor>
</c:userShapes>
</file>

<file path=xl/drawings/drawing13.xml><?xml version="1.0" encoding="utf-8"?>
<c:userShapes xmlns:c="http://schemas.openxmlformats.org/drawingml/2006/chart">
  <cdr:relSizeAnchor xmlns:cdr="http://schemas.openxmlformats.org/drawingml/2006/chartDrawing">
    <cdr:from>
      <cdr:x>0.14159</cdr:x>
      <cdr:y>0</cdr:y>
    </cdr:from>
    <cdr:to>
      <cdr:x>0.77212</cdr:x>
      <cdr:y>0.12849</cdr:y>
    </cdr:to>
    <cdr:sp macro="" textlink="">
      <cdr:nvSpPr>
        <cdr:cNvPr id="2" name="TextBox 1">
          <a:extLst xmlns:a="http://schemas.openxmlformats.org/drawingml/2006/main">
            <a:ext uri="{FF2B5EF4-FFF2-40B4-BE49-F238E27FC236}">
              <a16:creationId xmlns:a16="http://schemas.microsoft.com/office/drawing/2014/main" id="{C9981103-67E4-BA59-9976-94919E6317E1}"/>
            </a:ext>
          </a:extLst>
        </cdr:cNvPr>
        <cdr:cNvSpPr txBox="1"/>
      </cdr:nvSpPr>
      <cdr:spPr>
        <a:xfrm xmlns:a="http://schemas.openxmlformats.org/drawingml/2006/main">
          <a:off x="487680" y="0"/>
          <a:ext cx="217170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70C0"/>
              </a:solidFill>
            </a:rPr>
            <a:t>         COVID CASES TREND</a:t>
          </a:r>
        </a:p>
      </cdr:txBody>
    </cdr:sp>
  </cdr:relSizeAnchor>
</c:userShapes>
</file>

<file path=xl/drawings/drawing14.xml><?xml version="1.0" encoding="utf-8"?>
<c:userShapes xmlns:c="http://schemas.openxmlformats.org/drawingml/2006/chart">
  <cdr:relSizeAnchor xmlns:cdr="http://schemas.openxmlformats.org/drawingml/2006/chartDrawing">
    <cdr:from>
      <cdr:x>0.25</cdr:x>
      <cdr:y>0.04211</cdr:y>
    </cdr:from>
    <cdr:to>
      <cdr:x>0.70364</cdr:x>
      <cdr:y>0.2</cdr:y>
    </cdr:to>
    <cdr:sp macro="" textlink="">
      <cdr:nvSpPr>
        <cdr:cNvPr id="2" name="TextBox 1">
          <a:extLst xmlns:a="http://schemas.openxmlformats.org/drawingml/2006/main">
            <a:ext uri="{FF2B5EF4-FFF2-40B4-BE49-F238E27FC236}">
              <a16:creationId xmlns:a16="http://schemas.microsoft.com/office/drawing/2014/main" id="{0B7F978C-7CCD-8A12-192A-7C666535ACBB}"/>
            </a:ext>
          </a:extLst>
        </cdr:cNvPr>
        <cdr:cNvSpPr txBox="1"/>
      </cdr:nvSpPr>
      <cdr:spPr>
        <a:xfrm xmlns:a="http://schemas.openxmlformats.org/drawingml/2006/main">
          <a:off x="1150620" y="60960"/>
          <a:ext cx="208788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accent3">
                  <a:lumMod val="75000"/>
                </a:schemeClr>
              </a:solidFill>
            </a:rPr>
            <a:t>         VACCINATION</a:t>
          </a:r>
          <a:r>
            <a:rPr lang="en-IN" sz="1100" b="1" kern="1200" baseline="0">
              <a:solidFill>
                <a:schemeClr val="accent3">
                  <a:lumMod val="75000"/>
                </a:schemeClr>
              </a:solidFill>
            </a:rPr>
            <a:t> TREND</a:t>
          </a:r>
          <a:endParaRPr lang="en-IN" sz="1100" b="1" kern="1200">
            <a:solidFill>
              <a:schemeClr val="accent3">
                <a:lumMod val="75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0.19691</cdr:x>
      <cdr:y>0.01099</cdr:y>
    </cdr:from>
    <cdr:to>
      <cdr:x>0.77413</cdr:x>
      <cdr:y>0.17216</cdr:y>
    </cdr:to>
    <cdr:sp macro="" textlink="">
      <cdr:nvSpPr>
        <cdr:cNvPr id="2" name="TextBox 1">
          <a:extLst xmlns:a="http://schemas.openxmlformats.org/drawingml/2006/main">
            <a:ext uri="{FF2B5EF4-FFF2-40B4-BE49-F238E27FC236}">
              <a16:creationId xmlns:a16="http://schemas.microsoft.com/office/drawing/2014/main" id="{7A46B60B-3021-9FF3-BE79-EF7158F6C896}"/>
            </a:ext>
          </a:extLst>
        </cdr:cNvPr>
        <cdr:cNvSpPr txBox="1"/>
      </cdr:nvSpPr>
      <cdr:spPr>
        <a:xfrm xmlns:a="http://schemas.openxmlformats.org/drawingml/2006/main">
          <a:off x="777240" y="22860"/>
          <a:ext cx="227838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92D050"/>
              </a:solidFill>
            </a:rPr>
            <a:t>     TOP 7 COUNTRIES BY CASES</a:t>
          </a:r>
        </a:p>
      </cdr:txBody>
    </cdr:sp>
  </cdr:relSizeAnchor>
</c:userShapes>
</file>

<file path=xl/drawings/drawing16.xml><?xml version="1.0" encoding="utf-8"?>
<c:userShapes xmlns:c="http://schemas.openxmlformats.org/drawingml/2006/chart">
  <cdr:relSizeAnchor xmlns:cdr="http://schemas.openxmlformats.org/drawingml/2006/chartDrawing">
    <cdr:from>
      <cdr:x>0.22047</cdr:x>
      <cdr:y>0.02151</cdr:y>
    </cdr:from>
    <cdr:to>
      <cdr:x>0.82087</cdr:x>
      <cdr:y>0.16487</cdr:y>
    </cdr:to>
    <cdr:sp macro="" textlink="">
      <cdr:nvSpPr>
        <cdr:cNvPr id="2" name="TextBox 1">
          <a:extLst xmlns:a="http://schemas.openxmlformats.org/drawingml/2006/main">
            <a:ext uri="{FF2B5EF4-FFF2-40B4-BE49-F238E27FC236}">
              <a16:creationId xmlns:a16="http://schemas.microsoft.com/office/drawing/2014/main" id="{AE3FAD72-CF6C-F50A-95AA-4451D6CB7E9D}"/>
            </a:ext>
          </a:extLst>
        </cdr:cNvPr>
        <cdr:cNvSpPr txBox="1"/>
      </cdr:nvSpPr>
      <cdr:spPr>
        <a:xfrm xmlns:a="http://schemas.openxmlformats.org/drawingml/2006/main">
          <a:off x="853440" y="45720"/>
          <a:ext cx="23241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70C0"/>
              </a:solidFill>
            </a:rPr>
            <a:t>GDP PER CAPITA vs POPULATION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814081365737" createdVersion="8" refreshedVersion="8" minRefreshableVersion="3" recordCount="1000" xr:uid="{3FA0AA88-943F-4EC9-A9F9-966EBC078FFD}">
  <cacheSource type="worksheet">
    <worksheetSource name="Table1"/>
  </cacheSource>
  <cacheFields count="28">
    <cacheField name="Country" numFmtId="0">
      <sharedItems count="7">
        <s v="Italy"/>
        <s v="UK"/>
        <s v="Germany"/>
        <s v="Brazil"/>
        <s v="USA"/>
        <s v="France"/>
        <s v="India"/>
      </sharedItems>
    </cacheField>
    <cacheField name="State_Region" numFmtId="0">
      <sharedItems count="5">
        <s v="California"/>
        <s v="Sao Paulo"/>
        <s v="Maharashtra"/>
        <s v="Bavaria"/>
        <s v="London"/>
      </sharedItems>
    </cacheField>
    <cacheField name="City" numFmtId="0">
      <sharedItems count="5">
        <s v="Los Angeles"/>
        <s v="London City"/>
        <s v="Munich"/>
        <s v="Mumbai"/>
        <s v="Sao Paulo City"/>
      </sharedItems>
    </cacheField>
    <cacheField name="Date" numFmtId="164">
      <sharedItems containsSemiMixedTypes="0" containsNonDate="0" containsDate="1" containsString="0" minDate="2021-01-01T00:00:00" maxDate="2023-09-28T00:00:00" count="1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sharedItems>
      <fieldGroup par="27"/>
    </cacheField>
    <cacheField name="Population" numFmtId="0">
      <sharedItems containsSemiMixedTypes="0" containsString="0" containsNumber="1" containsInteger="1" minValue="577175" maxValue="49931582"/>
    </cacheField>
    <cacheField name="Population_Density" numFmtId="0">
      <sharedItems containsSemiMixedTypes="0" containsString="0" containsNumber="1" containsInteger="1" minValue="103" maxValue="19994"/>
    </cacheField>
    <cacheField name="Median_Age" numFmtId="0">
      <sharedItems containsSemiMixedTypes="0" containsString="0" containsNumber="1" minValue="18" maxValue="49.9" count="305">
        <n v="47.1"/>
        <n v="34.299999999999997"/>
        <n v="34"/>
        <n v="19.600000000000001"/>
        <n v="19.100000000000001"/>
        <n v="35.6"/>
        <n v="32"/>
        <n v="44.9"/>
        <n v="23.1"/>
        <n v="18.8"/>
        <n v="32.4"/>
        <n v="25.6"/>
        <n v="41.2"/>
        <n v="21.6"/>
        <n v="37.5"/>
        <n v="27"/>
        <n v="23.6"/>
        <n v="30.2"/>
        <n v="43.6"/>
        <n v="30.5"/>
        <n v="42"/>
        <n v="22"/>
        <n v="42.7"/>
        <n v="39.700000000000003"/>
        <n v="36.1"/>
        <n v="47.7"/>
        <n v="30.4"/>
        <n v="20.100000000000001"/>
        <n v="18.600000000000001"/>
        <n v="44.5"/>
        <n v="34.799999999999997"/>
        <n v="42.8"/>
        <n v="25.5"/>
        <n v="29"/>
        <n v="19"/>
        <n v="48.8"/>
        <n v="39.4"/>
        <n v="47.9"/>
        <n v="26.5"/>
        <n v="37.6"/>
        <n v="28.2"/>
        <n v="45.1"/>
        <n v="48.3"/>
        <n v="46.3"/>
        <n v="41.7"/>
        <n v="26.9"/>
        <n v="18.3"/>
        <n v="40.9"/>
        <n v="40.6"/>
        <n v="37.9"/>
        <n v="49.7"/>
        <n v="28"/>
        <n v="28.9"/>
        <n v="20.5"/>
        <n v="32.200000000000003"/>
        <n v="26.4"/>
        <n v="44.7"/>
        <n v="23.9"/>
        <n v="29.9"/>
        <n v="20"/>
        <n v="21"/>
        <n v="23.2"/>
        <n v="37"/>
        <n v="22.8"/>
        <n v="49"/>
        <n v="32.299999999999997"/>
        <n v="25.9"/>
        <n v="33.1"/>
        <n v="39.200000000000003"/>
        <n v="42.1"/>
        <n v="36.5"/>
        <n v="46.9"/>
        <n v="44.2"/>
        <n v="42.2"/>
        <n v="19.8"/>
        <n v="18.2"/>
        <n v="24.8"/>
        <n v="31.2"/>
        <n v="30.9"/>
        <n v="46.7"/>
        <n v="40.1"/>
        <n v="26.7"/>
        <n v="24.1"/>
        <n v="31.8"/>
        <n v="44.6"/>
        <n v="21.8"/>
        <n v="41.5"/>
        <n v="35"/>
        <n v="27.2"/>
        <n v="33.799999999999997"/>
        <n v="27.6"/>
        <n v="37.1"/>
        <n v="31.9"/>
        <n v="23.3"/>
        <n v="21.7"/>
        <n v="35.5"/>
        <n v="39.1"/>
        <n v="47.8"/>
        <n v="44.3"/>
        <n v="39"/>
        <n v="30.8"/>
        <n v="28.5"/>
        <n v="44.4"/>
        <n v="21.3"/>
        <n v="32.799999999999997"/>
        <n v="49.4"/>
        <n v="24.9"/>
        <n v="20.2"/>
        <n v="41.6"/>
        <n v="23.5"/>
        <n v="36.200000000000003"/>
        <n v="27.5"/>
        <n v="48"/>
        <n v="49.5"/>
        <n v="26.3"/>
        <n v="29.1"/>
        <n v="19.7"/>
        <n v="32.700000000000003"/>
        <n v="25.2"/>
        <n v="26.1"/>
        <n v="29.5"/>
        <n v="33.299999999999997"/>
        <n v="29.2"/>
        <n v="29.6"/>
        <n v="43.8"/>
        <n v="24.7"/>
        <n v="20.7"/>
        <n v="32.9"/>
        <n v="33.4"/>
        <n v="25.1"/>
        <n v="43.9"/>
        <n v="30.3"/>
        <n v="27.7"/>
        <n v="39.9"/>
        <n v="33.200000000000003"/>
        <n v="31"/>
        <n v="49.1"/>
        <n v="36"/>
        <n v="31.4"/>
        <n v="29.3"/>
        <n v="44.1"/>
        <n v="30"/>
        <n v="26.2"/>
        <n v="21.4"/>
        <n v="29.4"/>
        <n v="39.6"/>
        <n v="30.6"/>
        <n v="23.8"/>
        <n v="23"/>
        <n v="19.3"/>
        <n v="23.4"/>
        <n v="46.1"/>
        <n v="35.799999999999997"/>
        <n v="25.4"/>
        <n v="34.1"/>
        <n v="41.4"/>
        <n v="48.7"/>
        <n v="46.4"/>
        <n v="47.3"/>
        <n v="38.299999999999997"/>
        <n v="38.200000000000003"/>
        <n v="31.7"/>
        <n v="22.7"/>
        <n v="35.299999999999997"/>
        <n v="45"/>
        <n v="30.1"/>
        <n v="26"/>
        <n v="33.5"/>
        <n v="34.5"/>
        <n v="27.9"/>
        <n v="36.299999999999997"/>
        <n v="28.4"/>
        <n v="49.3"/>
        <n v="48.9"/>
        <n v="41.3"/>
        <n v="39.5"/>
        <n v="43.1"/>
        <n v="37.299999999999997"/>
        <n v="40"/>
        <n v="21.9"/>
        <n v="27.8"/>
        <n v="21.2"/>
        <n v="18.5"/>
        <n v="49.2"/>
        <n v="22.3"/>
        <n v="45.8"/>
        <n v="47.6"/>
        <n v="36.4"/>
        <n v="18.899999999999999"/>
        <n v="36.700000000000003"/>
        <n v="18.399999999999999"/>
        <n v="43.2"/>
        <n v="36.799999999999997"/>
        <n v="30.7"/>
        <n v="35.4"/>
        <n v="26.8"/>
        <n v="40.700000000000003"/>
        <n v="31.6"/>
        <n v="21.1"/>
        <n v="28.8"/>
        <n v="45.9"/>
        <n v="32.1"/>
        <n v="28.7"/>
        <n v="42.3"/>
        <n v="22.9"/>
        <n v="26.6"/>
        <n v="31.1"/>
        <n v="39.799999999999997"/>
        <n v="40.299999999999997"/>
        <n v="24.2"/>
        <n v="38.5"/>
        <n v="25.7"/>
        <n v="20.6"/>
        <n v="49.8"/>
        <n v="49.6"/>
        <n v="43.4"/>
        <n v="45.7"/>
        <n v="27.3"/>
        <n v="33"/>
        <n v="37.799999999999997"/>
        <n v="28.6"/>
        <n v="45.2"/>
        <n v="24.4"/>
        <n v="42.9"/>
        <n v="46.5"/>
        <n v="27.4"/>
        <n v="42.5"/>
        <n v="42.6"/>
        <n v="40.200000000000003"/>
        <n v="38"/>
        <n v="41.9"/>
        <n v="25"/>
        <n v="19.899999999999999"/>
        <n v="22.2"/>
        <n v="37.4"/>
        <n v="19.399999999999999"/>
        <n v="20.9"/>
        <n v="37.200000000000003"/>
        <n v="47.4"/>
        <n v="22.6"/>
        <n v="46.8"/>
        <n v="18"/>
        <n v="39.299999999999997"/>
        <n v="38.799999999999997"/>
        <n v="43"/>
        <n v="40.799999999999997"/>
        <n v="48.6"/>
        <n v="28.1"/>
        <n v="23.7"/>
        <n v="46"/>
        <n v="49.9"/>
        <n v="36.6"/>
        <n v="44"/>
        <n v="22.1"/>
        <n v="40.4"/>
        <n v="24"/>
        <n v="27.1"/>
        <n v="37.700000000000003"/>
        <n v="24.3"/>
        <n v="21.5"/>
        <n v="20.8"/>
        <n v="38.4"/>
        <n v="33.9"/>
        <n v="29.7"/>
        <n v="40.5"/>
        <n v="47.2"/>
        <n v="18.7"/>
        <n v="32.5"/>
        <n v="34.200000000000003"/>
        <n v="31.3"/>
        <n v="38.700000000000003"/>
        <n v="48.1"/>
        <n v="48.5"/>
        <n v="35.700000000000003"/>
        <n v="43.7"/>
        <n v="41.1"/>
        <n v="48.4"/>
        <n v="38.6"/>
        <n v="19.5"/>
        <n v="42.4"/>
        <n v="34.700000000000003"/>
        <n v="25.3"/>
        <n v="24.5"/>
        <n v="34.4"/>
        <n v="20.3"/>
        <n v="35.9"/>
        <n v="34.6"/>
        <n v="18.100000000000001"/>
        <n v="33.700000000000003"/>
        <n v="43.5"/>
        <n v="47.5"/>
        <n v="22.5"/>
        <n v="47"/>
        <n v="41.8"/>
        <n v="33.6"/>
        <n v="45.6"/>
        <n v="41"/>
        <n v="46.2"/>
        <n v="22.4"/>
        <n v="45.5"/>
        <n v="24.6"/>
        <n v="29.8"/>
        <n v="45.4"/>
        <n v="48.2"/>
        <n v="44.8"/>
      </sharedItems>
    </cacheField>
    <cacheField name="GDP_Per_Capita" numFmtId="0">
      <sharedItems containsSemiMixedTypes="0" containsString="0" containsNumber="1" containsInteger="1" minValue="1060" maxValue="69931"/>
    </cacheField>
    <cacheField name="Total_Cases" numFmtId="0">
      <sharedItems containsSemiMixedTypes="0" containsString="0" containsNumber="1" containsInteger="1" minValue="1727" maxValue="999887"/>
    </cacheField>
    <cacheField name="New_Cases" numFmtId="0">
      <sharedItems containsSemiMixedTypes="0" containsString="0" containsNumber="1" containsInteger="1" minValue="21" maxValue="49984"/>
    </cacheField>
    <cacheField name="Total_Deaths" numFmtId="0">
      <sharedItems containsSemiMixedTypes="0" containsString="0" containsNumber="1" containsInteger="1" minValue="12" maxValue="49942"/>
    </cacheField>
    <cacheField name="New_Deaths" numFmtId="0">
      <sharedItems containsSemiMixedTypes="0" containsString="0" containsNumber="1" containsInteger="1" minValue="0" maxValue="1996"/>
    </cacheField>
    <cacheField name="Total_Recovered" numFmtId="0">
      <sharedItems containsSemiMixedTypes="0" containsString="0" containsNumber="1" containsInteger="1" minValue="2919" maxValue="898701"/>
    </cacheField>
    <cacheField name="Active_Cases" numFmtId="0">
      <sharedItems containsSemiMixedTypes="0" containsString="0" containsNumber="1" containsInteger="1" minValue="156" maxValue="499507"/>
    </cacheField>
    <cacheField name="Critical_Cases" numFmtId="0">
      <sharedItems containsSemiMixedTypes="0" containsString="0" containsNumber="1" containsInteger="1" minValue="15" maxValue="9984"/>
    </cacheField>
    <cacheField name="Tests_Conducted" numFmtId="0">
      <sharedItems containsSemiMixedTypes="0" containsString="0" containsNumber="1" containsInteger="1" minValue="1064" maxValue="1996507"/>
    </cacheField>
    <cacheField name="Positivity_Rate (%)" numFmtId="0">
      <sharedItems containsSemiMixedTypes="0" containsString="0" containsNumber="1" minValue="0.03" maxValue="29.99"/>
    </cacheField>
    <cacheField name="Vaccinated_Population" numFmtId="0">
      <sharedItems containsSemiMixedTypes="0" containsString="0" containsNumber="1" containsInteger="1" minValue="18179" maxValue="49922730"/>
    </cacheField>
    <cacheField name="Fully_Vaccinated" numFmtId="0">
      <sharedItems containsSemiMixedTypes="0" containsString="0" containsNumber="1" containsInteger="1" minValue="48720" maxValue="39975604"/>
    </cacheField>
    <cacheField name="Booster_Doses" numFmtId="0">
      <sharedItems containsSemiMixedTypes="0" containsString="0" containsNumber="1" containsInteger="1" minValue="77332" maxValue="29999088"/>
    </cacheField>
    <cacheField name="Vaccination_Rate (%)" numFmtId="0">
      <sharedItems containsSemiMixedTypes="0" containsString="0" containsNumber="1" minValue="0.14000000000000001" maxValue="99.83"/>
    </cacheField>
    <cacheField name="Hospital_Beds_Per_1000" numFmtId="0">
      <sharedItems containsSemiMixedTypes="0" containsString="0" containsNumber="1" minValue="0.51" maxValue="10"/>
    </cacheField>
    <cacheField name="ICU_Beds" numFmtId="0">
      <sharedItems containsSemiMixedTypes="0" containsString="0" containsNumber="1" containsInteger="1" minValue="58" maxValue="4994"/>
    </cacheField>
    <cacheField name="Doctors_Per_1000" numFmtId="0">
      <sharedItems containsSemiMixedTypes="0" containsString="0" containsNumber="1" minValue="0.1" maxValue="5"/>
    </cacheField>
    <cacheField name="Stringency_Index" numFmtId="0">
      <sharedItems containsSemiMixedTypes="0" containsString="0" containsNumber="1" minValue="0.11" maxValue="99.79"/>
    </cacheField>
    <cacheField name="Months (Date)" numFmtId="0" databaseField="0">
      <fieldGroup base="3">
        <rangePr groupBy="months" startDate="2021-01-01T00:00:00" endDate="2023-09-28T00:00:00"/>
        <groupItems count="14">
          <s v="&lt;01-01-2021"/>
          <s v="Jan"/>
          <s v="Feb"/>
          <s v="Mar"/>
          <s v="Apr"/>
          <s v="May"/>
          <s v="Jun"/>
          <s v="Jul"/>
          <s v="Aug"/>
          <s v="Sep"/>
          <s v="Oct"/>
          <s v="Nov"/>
          <s v="Dec"/>
          <s v="&gt;28-09-2023"/>
        </groupItems>
      </fieldGroup>
    </cacheField>
    <cacheField name="Quarters (Date)" numFmtId="0" databaseField="0">
      <fieldGroup base="3">
        <rangePr groupBy="quarters" startDate="2021-01-01T00:00:00" endDate="2023-09-28T00:00:00"/>
        <groupItems count="6">
          <s v="&lt;01-01-2021"/>
          <s v="Qtr1"/>
          <s v="Qtr2"/>
          <s v="Qtr3"/>
          <s v="Qtr4"/>
          <s v="&gt;28-09-2023"/>
        </groupItems>
      </fieldGroup>
    </cacheField>
    <cacheField name="Years (Date)" numFmtId="0" databaseField="0">
      <fieldGroup base="3">
        <rangePr groupBy="years" startDate="2021-01-01T00:00:00" endDate="2023-09-28T00:00:00"/>
        <groupItems count="5">
          <s v="&lt;01-01-2021"/>
          <s v="2021"/>
          <s v="2022"/>
          <s v="2023"/>
          <s v="&gt;28-09-2023"/>
        </groupItems>
      </fieldGroup>
    </cacheField>
  </cacheFields>
  <extLst>
    <ext xmlns:x14="http://schemas.microsoft.com/office/spreadsheetml/2009/9/main" uri="{725AE2AE-9491-48be-B2B4-4EB974FC3084}">
      <x14:pivotCacheDefinition pivotCacheId="1807723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3247442"/>
    <n v="5006"/>
    <x v="0"/>
    <n v="35980"/>
    <n v="910121"/>
    <n v="47921"/>
    <n v="34480"/>
    <n v="183"/>
    <n v="101091"/>
    <n v="465052"/>
    <n v="1885"/>
    <n v="710687"/>
    <n v="22.95"/>
    <n v="16660146"/>
    <n v="37117501"/>
    <n v="8282270"/>
    <n v="21.5"/>
    <n v="8.1"/>
    <n v="4018"/>
    <n v="3.93"/>
    <n v="17.72"/>
  </r>
  <r>
    <x v="1"/>
    <x v="1"/>
    <x v="1"/>
    <x v="1"/>
    <n v="16650865"/>
    <n v="10245"/>
    <x v="1"/>
    <n v="23504"/>
    <n v="476573"/>
    <n v="32826"/>
    <n v="18395"/>
    <n v="1046"/>
    <n v="588541"/>
    <n v="497016"/>
    <n v="8667"/>
    <n v="649782"/>
    <n v="14.11"/>
    <n v="10269127"/>
    <n v="25830553"/>
    <n v="24814353"/>
    <n v="3.72"/>
    <n v="6.3"/>
    <n v="251"/>
    <n v="4.78"/>
    <n v="29.23"/>
  </r>
  <r>
    <x v="2"/>
    <x v="2"/>
    <x v="0"/>
    <x v="2"/>
    <n v="19408234"/>
    <n v="17126"/>
    <x v="2"/>
    <n v="55970"/>
    <n v="44162"/>
    <n v="30297"/>
    <n v="23306"/>
    <n v="1809"/>
    <n v="503977"/>
    <n v="351157"/>
    <n v="1049"/>
    <n v="1689678"/>
    <n v="9.52"/>
    <n v="13946875"/>
    <n v="16584465"/>
    <n v="27297547"/>
    <n v="14.08"/>
    <n v="2.64"/>
    <n v="3142"/>
    <n v="2.94"/>
    <n v="55.13"/>
  </r>
  <r>
    <x v="0"/>
    <x v="3"/>
    <x v="1"/>
    <x v="3"/>
    <n v="45694168"/>
    <n v="19596"/>
    <x v="3"/>
    <n v="17766"/>
    <n v="922253"/>
    <n v="43890"/>
    <n v="23626"/>
    <n v="128"/>
    <n v="585308"/>
    <n v="341190"/>
    <n v="4129"/>
    <n v="251139"/>
    <n v="18.68"/>
    <n v="36028859"/>
    <n v="32450184"/>
    <n v="4417327"/>
    <n v="91.73"/>
    <n v="6.32"/>
    <n v="3215"/>
    <n v="3.44"/>
    <n v="31.92"/>
  </r>
  <r>
    <x v="3"/>
    <x v="3"/>
    <x v="0"/>
    <x v="4"/>
    <n v="37543861"/>
    <n v="1155"/>
    <x v="4"/>
    <n v="12695"/>
    <n v="274497"/>
    <n v="21322"/>
    <n v="26392"/>
    <n v="290"/>
    <n v="266652"/>
    <n v="177143"/>
    <n v="1161"/>
    <n v="1966760"/>
    <n v="19.579999999999998"/>
    <n v="9961174"/>
    <n v="9512840"/>
    <n v="27094112"/>
    <n v="45.94"/>
    <n v="6.47"/>
    <n v="3129"/>
    <n v="1.75"/>
    <n v="42.42"/>
  </r>
  <r>
    <x v="2"/>
    <x v="4"/>
    <x v="2"/>
    <x v="5"/>
    <n v="16366128"/>
    <n v="19442"/>
    <x v="5"/>
    <n v="18796"/>
    <n v="113313"/>
    <n v="35739"/>
    <n v="11149"/>
    <n v="1855"/>
    <n v="438180"/>
    <n v="134770"/>
    <n v="815"/>
    <n v="501228"/>
    <n v="23.08"/>
    <n v="5009486"/>
    <n v="36875370"/>
    <n v="23808250"/>
    <n v="7.77"/>
    <n v="7.47"/>
    <n v="4617"/>
    <n v="1.97"/>
    <n v="49.24"/>
  </r>
  <r>
    <x v="2"/>
    <x v="0"/>
    <x v="2"/>
    <x v="6"/>
    <n v="40532875"/>
    <n v="18595"/>
    <x v="6"/>
    <n v="43543"/>
    <n v="29477"/>
    <n v="9719"/>
    <n v="32070"/>
    <n v="500"/>
    <n v="370052"/>
    <n v="10664"/>
    <n v="3766"/>
    <n v="1715793"/>
    <n v="4.7"/>
    <n v="3368410"/>
    <n v="15913132"/>
    <n v="19443694"/>
    <n v="95.97"/>
    <n v="6.4"/>
    <n v="2152"/>
    <n v="3.7"/>
    <n v="85.64"/>
  </r>
  <r>
    <x v="0"/>
    <x v="2"/>
    <x v="2"/>
    <x v="7"/>
    <n v="11397034"/>
    <n v="15467"/>
    <x v="7"/>
    <n v="15559"/>
    <n v="680930"/>
    <n v="14017"/>
    <n v="22429"/>
    <n v="185"/>
    <n v="263140"/>
    <n v="242224"/>
    <n v="8945"/>
    <n v="1747197"/>
    <n v="22.25"/>
    <n v="934814"/>
    <n v="11471353"/>
    <n v="27231750"/>
    <n v="87.9"/>
    <n v="9.7100000000000009"/>
    <n v="960"/>
    <n v="4.6500000000000004"/>
    <n v="52.32"/>
  </r>
  <r>
    <x v="4"/>
    <x v="0"/>
    <x v="3"/>
    <x v="8"/>
    <n v="44974126"/>
    <n v="14238"/>
    <x v="8"/>
    <n v="34139"/>
    <n v="87373"/>
    <n v="8314"/>
    <n v="27795"/>
    <n v="478"/>
    <n v="362411"/>
    <n v="227606"/>
    <n v="4661"/>
    <n v="861020"/>
    <n v="17.98"/>
    <n v="4932206"/>
    <n v="35711373"/>
    <n v="7937115"/>
    <n v="75.47"/>
    <n v="2.37"/>
    <n v="1621"/>
    <n v="3.18"/>
    <n v="36.25"/>
  </r>
  <r>
    <x v="3"/>
    <x v="2"/>
    <x v="1"/>
    <x v="9"/>
    <n v="17571962"/>
    <n v="12652"/>
    <x v="9"/>
    <n v="9802"/>
    <n v="929941"/>
    <n v="28295"/>
    <n v="15712"/>
    <n v="1594"/>
    <n v="285856"/>
    <n v="311969"/>
    <n v="8653"/>
    <n v="935499"/>
    <n v="1.73"/>
    <n v="32449991"/>
    <n v="3739941"/>
    <n v="7123056"/>
    <n v="93.35"/>
    <n v="9.5399999999999991"/>
    <n v="3498"/>
    <n v="3.97"/>
    <n v="24.77"/>
  </r>
  <r>
    <x v="0"/>
    <x v="4"/>
    <x v="2"/>
    <x v="10"/>
    <n v="39765186"/>
    <n v="9306"/>
    <x v="10"/>
    <n v="41205"/>
    <n v="694464"/>
    <n v="9628"/>
    <n v="29227"/>
    <n v="491"/>
    <n v="807569"/>
    <n v="86234"/>
    <n v="3239"/>
    <n v="1296085"/>
    <n v="23.32"/>
    <n v="25472313"/>
    <n v="9917886"/>
    <n v="17510658"/>
    <n v="22.01"/>
    <n v="5.61"/>
    <n v="2209"/>
    <n v="0.94"/>
    <n v="40.869999999999997"/>
  </r>
  <r>
    <x v="3"/>
    <x v="4"/>
    <x v="3"/>
    <x v="11"/>
    <n v="5932019"/>
    <n v="14262"/>
    <x v="11"/>
    <n v="35159"/>
    <n v="719730"/>
    <n v="42122"/>
    <n v="39301"/>
    <n v="512"/>
    <n v="832159"/>
    <n v="106040"/>
    <n v="8272"/>
    <n v="14580"/>
    <n v="11.49"/>
    <n v="15297782"/>
    <n v="16622607"/>
    <n v="11602026"/>
    <n v="83.64"/>
    <n v="6.88"/>
    <n v="4375"/>
    <n v="1.1399999999999999"/>
    <n v="51.57"/>
  </r>
  <r>
    <x v="3"/>
    <x v="3"/>
    <x v="1"/>
    <x v="12"/>
    <n v="21630108"/>
    <n v="1963"/>
    <x v="3"/>
    <n v="12516"/>
    <n v="529839"/>
    <n v="11492"/>
    <n v="12407"/>
    <n v="1666"/>
    <n v="476129"/>
    <n v="453256"/>
    <n v="2804"/>
    <n v="1592104"/>
    <n v="9.91"/>
    <n v="6406377"/>
    <n v="23590236"/>
    <n v="26157630"/>
    <n v="69"/>
    <n v="1.44"/>
    <n v="2594"/>
    <n v="2.71"/>
    <n v="74.61"/>
  </r>
  <r>
    <x v="2"/>
    <x v="0"/>
    <x v="0"/>
    <x v="13"/>
    <n v="18979375"/>
    <n v="10643"/>
    <x v="12"/>
    <n v="51492"/>
    <n v="69359"/>
    <n v="36113"/>
    <n v="40889"/>
    <n v="1090"/>
    <n v="120618"/>
    <n v="62185"/>
    <n v="8031"/>
    <n v="779639"/>
    <n v="13.44"/>
    <n v="29976145"/>
    <n v="8557770"/>
    <n v="13483397"/>
    <n v="86.98"/>
    <n v="4.12"/>
    <n v="1379"/>
    <n v="0.97"/>
    <n v="12.1"/>
  </r>
  <r>
    <x v="1"/>
    <x v="3"/>
    <x v="3"/>
    <x v="14"/>
    <n v="10892034"/>
    <n v="1822"/>
    <x v="13"/>
    <n v="30086"/>
    <n v="449096"/>
    <n v="15357"/>
    <n v="35179"/>
    <n v="1828"/>
    <n v="739206"/>
    <n v="17962"/>
    <n v="869"/>
    <n v="1395166"/>
    <n v="10.39"/>
    <n v="7916163"/>
    <n v="11481567"/>
    <n v="20458462"/>
    <n v="79.69"/>
    <n v="7.81"/>
    <n v="3663"/>
    <n v="3.21"/>
    <n v="22.16"/>
  </r>
  <r>
    <x v="3"/>
    <x v="0"/>
    <x v="4"/>
    <x v="15"/>
    <n v="16894487"/>
    <n v="19214"/>
    <x v="14"/>
    <n v="31480"/>
    <n v="144988"/>
    <n v="33329"/>
    <n v="26950"/>
    <n v="466"/>
    <n v="272528"/>
    <n v="272509"/>
    <n v="5526"/>
    <n v="469968"/>
    <n v="10.15"/>
    <n v="36317166"/>
    <n v="7467870"/>
    <n v="13452645"/>
    <n v="34.65"/>
    <n v="7.22"/>
    <n v="510"/>
    <n v="1.53"/>
    <n v="37.97"/>
  </r>
  <r>
    <x v="5"/>
    <x v="3"/>
    <x v="3"/>
    <x v="16"/>
    <n v="31171003"/>
    <n v="13046"/>
    <x v="15"/>
    <n v="53091"/>
    <n v="127150"/>
    <n v="20365"/>
    <n v="42259"/>
    <n v="284"/>
    <n v="116981"/>
    <n v="140877"/>
    <n v="7741"/>
    <n v="891965"/>
    <n v="24.24"/>
    <n v="20929770"/>
    <n v="36027733"/>
    <n v="14817038"/>
    <n v="77.44"/>
    <n v="0.88"/>
    <n v="856"/>
    <n v="3.98"/>
    <n v="36.04"/>
  </r>
  <r>
    <x v="2"/>
    <x v="1"/>
    <x v="3"/>
    <x v="17"/>
    <n v="42566990"/>
    <n v="2921"/>
    <x v="16"/>
    <n v="48766"/>
    <n v="474919"/>
    <n v="39029"/>
    <n v="28351"/>
    <n v="600"/>
    <n v="68759"/>
    <n v="186451"/>
    <n v="4694"/>
    <n v="779559"/>
    <n v="3.74"/>
    <n v="10617218"/>
    <n v="11145841"/>
    <n v="10290374"/>
    <n v="26.25"/>
    <n v="5.69"/>
    <n v="3749"/>
    <n v="4.0599999999999996"/>
    <n v="39.17"/>
  </r>
  <r>
    <x v="4"/>
    <x v="1"/>
    <x v="1"/>
    <x v="18"/>
    <n v="13412550"/>
    <n v="13284"/>
    <x v="17"/>
    <n v="39737"/>
    <n v="697805"/>
    <n v="1737"/>
    <n v="10077"/>
    <n v="1440"/>
    <n v="50310"/>
    <n v="62571"/>
    <n v="8998"/>
    <n v="1533239"/>
    <n v="29.12"/>
    <n v="41745230"/>
    <n v="10301598"/>
    <n v="361949"/>
    <n v="32.86"/>
    <n v="1.34"/>
    <n v="2323"/>
    <n v="2.37"/>
    <n v="79.349999999999994"/>
  </r>
  <r>
    <x v="1"/>
    <x v="1"/>
    <x v="0"/>
    <x v="19"/>
    <n v="47237861"/>
    <n v="17094"/>
    <x v="18"/>
    <n v="10265"/>
    <n v="310780"/>
    <n v="9096"/>
    <n v="46154"/>
    <n v="1123"/>
    <n v="130426"/>
    <n v="91180"/>
    <n v="1934"/>
    <n v="429082"/>
    <n v="16.649999999999999"/>
    <n v="44081070"/>
    <n v="19667104"/>
    <n v="22527824"/>
    <n v="10.79"/>
    <n v="9.9600000000000009"/>
    <n v="108"/>
    <n v="0.99"/>
    <n v="32.42"/>
  </r>
  <r>
    <x v="5"/>
    <x v="1"/>
    <x v="4"/>
    <x v="20"/>
    <n v="36704667"/>
    <n v="10571"/>
    <x v="19"/>
    <n v="16386"/>
    <n v="468143"/>
    <n v="19938"/>
    <n v="13834"/>
    <n v="188"/>
    <n v="529549"/>
    <n v="473150"/>
    <n v="5172"/>
    <n v="606262"/>
    <n v="5.49"/>
    <n v="40046629"/>
    <n v="30115712"/>
    <n v="28118518"/>
    <n v="93.51"/>
    <n v="9.02"/>
    <n v="2525"/>
    <n v="3.27"/>
    <n v="50.19"/>
  </r>
  <r>
    <x v="5"/>
    <x v="2"/>
    <x v="2"/>
    <x v="21"/>
    <n v="32143648"/>
    <n v="10692"/>
    <x v="20"/>
    <n v="38425"/>
    <n v="996698"/>
    <n v="12682"/>
    <n v="13454"/>
    <n v="988"/>
    <n v="783202"/>
    <n v="456295"/>
    <n v="703"/>
    <n v="1647265"/>
    <n v="3.94"/>
    <n v="47355341"/>
    <n v="21312427"/>
    <n v="26291093"/>
    <n v="29.1"/>
    <n v="0.7"/>
    <n v="4873"/>
    <n v="4.96"/>
    <n v="62.39"/>
  </r>
  <r>
    <x v="4"/>
    <x v="1"/>
    <x v="2"/>
    <x v="22"/>
    <n v="38794471"/>
    <n v="1182"/>
    <x v="21"/>
    <n v="44254"/>
    <n v="817117"/>
    <n v="27499"/>
    <n v="45657"/>
    <n v="889"/>
    <n v="16875"/>
    <n v="318072"/>
    <n v="2523"/>
    <n v="214165"/>
    <n v="17.75"/>
    <n v="16668096"/>
    <n v="7936154"/>
    <n v="8248892"/>
    <n v="52.06"/>
    <n v="8.66"/>
    <n v="1205"/>
    <n v="3.15"/>
    <n v="23.22"/>
  </r>
  <r>
    <x v="1"/>
    <x v="4"/>
    <x v="3"/>
    <x v="23"/>
    <n v="44183574"/>
    <n v="749"/>
    <x v="22"/>
    <n v="54634"/>
    <n v="838566"/>
    <n v="44491"/>
    <n v="48890"/>
    <n v="1881"/>
    <n v="238617"/>
    <n v="491522"/>
    <n v="2639"/>
    <n v="406427"/>
    <n v="18.989999999999998"/>
    <n v="24632436"/>
    <n v="8362469"/>
    <n v="28855415"/>
    <n v="39.130000000000003"/>
    <n v="9.23"/>
    <n v="547"/>
    <n v="0.28000000000000003"/>
    <n v="71.87"/>
  </r>
  <r>
    <x v="2"/>
    <x v="4"/>
    <x v="1"/>
    <x v="24"/>
    <n v="10193374"/>
    <n v="14584"/>
    <x v="11"/>
    <n v="48662"/>
    <n v="352060"/>
    <n v="44866"/>
    <n v="33317"/>
    <n v="387"/>
    <n v="162137"/>
    <n v="379128"/>
    <n v="6159"/>
    <n v="453201"/>
    <n v="1.59"/>
    <n v="988807"/>
    <n v="16696299"/>
    <n v="16442940"/>
    <n v="95.99"/>
    <n v="3.86"/>
    <n v="4375"/>
    <n v="0.18"/>
    <n v="54.71"/>
  </r>
  <r>
    <x v="6"/>
    <x v="2"/>
    <x v="1"/>
    <x v="25"/>
    <n v="29063971"/>
    <n v="10280"/>
    <x v="23"/>
    <n v="11143"/>
    <n v="108967"/>
    <n v="41894"/>
    <n v="10984"/>
    <n v="240"/>
    <n v="103154"/>
    <n v="108107"/>
    <n v="3909"/>
    <n v="1213916"/>
    <n v="7.29"/>
    <n v="47620657"/>
    <n v="21613579"/>
    <n v="19176756"/>
    <n v="33.5"/>
    <n v="7.34"/>
    <n v="4478"/>
    <n v="1.67"/>
    <n v="44.68"/>
  </r>
  <r>
    <x v="1"/>
    <x v="1"/>
    <x v="2"/>
    <x v="26"/>
    <n v="30614233"/>
    <n v="6347"/>
    <x v="24"/>
    <n v="16581"/>
    <n v="95455"/>
    <n v="46157"/>
    <n v="46624"/>
    <n v="1805"/>
    <n v="819907"/>
    <n v="46204"/>
    <n v="1164"/>
    <n v="1839654"/>
    <n v="23.86"/>
    <n v="32117541"/>
    <n v="31533122"/>
    <n v="9714290"/>
    <n v="77.849999999999994"/>
    <n v="4.7"/>
    <n v="4026"/>
    <n v="1.06"/>
    <n v="80.98"/>
  </r>
  <r>
    <x v="4"/>
    <x v="1"/>
    <x v="4"/>
    <x v="27"/>
    <n v="36730949"/>
    <n v="12889"/>
    <x v="25"/>
    <n v="68443"/>
    <n v="784123"/>
    <n v="41034"/>
    <n v="38393"/>
    <n v="1754"/>
    <n v="682933"/>
    <n v="41034"/>
    <n v="619"/>
    <n v="711731"/>
    <n v="1.49"/>
    <n v="11315081"/>
    <n v="10488349"/>
    <n v="29592026"/>
    <n v="85.54"/>
    <n v="6.72"/>
    <n v="1657"/>
    <n v="4.08"/>
    <n v="24.35"/>
  </r>
  <r>
    <x v="5"/>
    <x v="1"/>
    <x v="0"/>
    <x v="28"/>
    <n v="4807086"/>
    <n v="7862"/>
    <x v="26"/>
    <n v="30424"/>
    <n v="462063"/>
    <n v="294"/>
    <n v="29300"/>
    <n v="416"/>
    <n v="201298"/>
    <n v="254706"/>
    <n v="7982"/>
    <n v="1821987"/>
    <n v="25.65"/>
    <n v="5781801"/>
    <n v="24547542"/>
    <n v="24898087"/>
    <n v="43.56"/>
    <n v="3.73"/>
    <n v="770"/>
    <n v="4.24"/>
    <n v="88.32"/>
  </r>
  <r>
    <x v="2"/>
    <x v="3"/>
    <x v="4"/>
    <x v="29"/>
    <n v="41385438"/>
    <n v="4607"/>
    <x v="27"/>
    <n v="42984"/>
    <n v="958497"/>
    <n v="32536"/>
    <n v="16026"/>
    <n v="1941"/>
    <n v="133455"/>
    <n v="376664"/>
    <n v="3066"/>
    <n v="305960"/>
    <n v="19.739999999999998"/>
    <n v="48101529"/>
    <n v="15960257"/>
    <n v="6654295"/>
    <n v="37.82"/>
    <n v="3.56"/>
    <n v="1324"/>
    <n v="1.37"/>
    <n v="56.1"/>
  </r>
  <r>
    <x v="1"/>
    <x v="0"/>
    <x v="0"/>
    <x v="30"/>
    <n v="26293044"/>
    <n v="2229"/>
    <x v="28"/>
    <n v="42505"/>
    <n v="176405"/>
    <n v="24596"/>
    <n v="32122"/>
    <n v="175"/>
    <n v="705489"/>
    <n v="6150"/>
    <n v="4872"/>
    <n v="1139036"/>
    <n v="13.03"/>
    <n v="43928283"/>
    <n v="39900806"/>
    <n v="23841395"/>
    <n v="74.77"/>
    <n v="4.53"/>
    <n v="3917"/>
    <n v="1.7"/>
    <n v="60.92"/>
  </r>
  <r>
    <x v="6"/>
    <x v="3"/>
    <x v="2"/>
    <x v="31"/>
    <n v="8829442"/>
    <n v="11080"/>
    <x v="29"/>
    <n v="63699"/>
    <n v="240646"/>
    <n v="32649"/>
    <n v="28523"/>
    <n v="386"/>
    <n v="720030"/>
    <n v="175124"/>
    <n v="8638"/>
    <n v="1355832"/>
    <n v="10.39"/>
    <n v="48424587"/>
    <n v="8396319"/>
    <n v="6539399"/>
    <n v="91.29"/>
    <n v="1.88"/>
    <n v="740"/>
    <n v="1.26"/>
    <n v="87.51"/>
  </r>
  <r>
    <x v="6"/>
    <x v="0"/>
    <x v="0"/>
    <x v="32"/>
    <n v="30871444"/>
    <n v="9115"/>
    <x v="30"/>
    <n v="27957"/>
    <n v="190937"/>
    <n v="11434"/>
    <n v="2966"/>
    <n v="1494"/>
    <n v="74989"/>
    <n v="479886"/>
    <n v="2337"/>
    <n v="1100624"/>
    <n v="0.57999999999999996"/>
    <n v="30288339"/>
    <n v="21293094"/>
    <n v="17916180"/>
    <n v="75.489999999999995"/>
    <n v="8.4"/>
    <n v="4073"/>
    <n v="4.55"/>
    <n v="81.760000000000005"/>
  </r>
  <r>
    <x v="3"/>
    <x v="1"/>
    <x v="1"/>
    <x v="33"/>
    <n v="9331924"/>
    <n v="8325"/>
    <x v="31"/>
    <n v="26464"/>
    <n v="473312"/>
    <n v="38098"/>
    <n v="8087"/>
    <n v="852"/>
    <n v="533169"/>
    <n v="270728"/>
    <n v="8400"/>
    <n v="1780382"/>
    <n v="24.76"/>
    <n v="13977229"/>
    <n v="2815839"/>
    <n v="14383068"/>
    <n v="22.71"/>
    <n v="3.81"/>
    <n v="4202"/>
    <n v="2.56"/>
    <n v="60.16"/>
  </r>
  <r>
    <x v="3"/>
    <x v="1"/>
    <x v="3"/>
    <x v="34"/>
    <n v="40222995"/>
    <n v="17856"/>
    <x v="32"/>
    <n v="24649"/>
    <n v="837188"/>
    <n v="4655"/>
    <n v="36500"/>
    <n v="1256"/>
    <n v="145367"/>
    <n v="324892"/>
    <n v="5594"/>
    <n v="1182426"/>
    <n v="4.28"/>
    <n v="42643501"/>
    <n v="750506"/>
    <n v="29339434"/>
    <n v="88.83"/>
    <n v="4.3"/>
    <n v="3487"/>
    <n v="3.32"/>
    <n v="75.319999999999993"/>
  </r>
  <r>
    <x v="0"/>
    <x v="3"/>
    <x v="3"/>
    <x v="35"/>
    <n v="3956653"/>
    <n v="15139"/>
    <x v="33"/>
    <n v="43065"/>
    <n v="386007"/>
    <n v="17493"/>
    <n v="44837"/>
    <n v="662"/>
    <n v="63499"/>
    <n v="322189"/>
    <n v="2460"/>
    <n v="1881760"/>
    <n v="9.2899999999999991"/>
    <n v="34254498"/>
    <n v="36540621"/>
    <n v="77332"/>
    <n v="38.76"/>
    <n v="8.99"/>
    <n v="2405"/>
    <n v="2.14"/>
    <n v="43.33"/>
  </r>
  <r>
    <x v="4"/>
    <x v="3"/>
    <x v="2"/>
    <x v="36"/>
    <n v="2388806"/>
    <n v="3230"/>
    <x v="34"/>
    <n v="35758"/>
    <n v="62192"/>
    <n v="46228"/>
    <n v="37865"/>
    <n v="451"/>
    <n v="312551"/>
    <n v="184850"/>
    <n v="6820"/>
    <n v="1527769"/>
    <n v="17.07"/>
    <n v="20986635"/>
    <n v="33034114"/>
    <n v="29253506"/>
    <n v="57.62"/>
    <n v="5.22"/>
    <n v="799"/>
    <n v="3.19"/>
    <n v="54.74"/>
  </r>
  <r>
    <x v="1"/>
    <x v="0"/>
    <x v="1"/>
    <x v="37"/>
    <n v="45687464"/>
    <n v="6746"/>
    <x v="35"/>
    <n v="6596"/>
    <n v="192758"/>
    <n v="3771"/>
    <n v="43116"/>
    <n v="276"/>
    <n v="857399"/>
    <n v="31423"/>
    <n v="5546"/>
    <n v="1906734"/>
    <n v="7.38"/>
    <n v="38872691"/>
    <n v="4453293"/>
    <n v="2066462"/>
    <n v="83.14"/>
    <n v="5.67"/>
    <n v="3101"/>
    <n v="1.99"/>
    <n v="6.21"/>
  </r>
  <r>
    <x v="1"/>
    <x v="4"/>
    <x v="4"/>
    <x v="38"/>
    <n v="31412354"/>
    <n v="9633"/>
    <x v="36"/>
    <n v="17374"/>
    <n v="836165"/>
    <n v="8563"/>
    <n v="34948"/>
    <n v="1252"/>
    <n v="829555"/>
    <n v="86432"/>
    <n v="3442"/>
    <n v="737200"/>
    <n v="14.91"/>
    <n v="39030865"/>
    <n v="7671711"/>
    <n v="4903158"/>
    <n v="18.84"/>
    <n v="9.59"/>
    <n v="4823"/>
    <n v="1.76"/>
    <n v="8.99"/>
  </r>
  <r>
    <x v="0"/>
    <x v="0"/>
    <x v="1"/>
    <x v="39"/>
    <n v="38016108"/>
    <n v="17048"/>
    <x v="37"/>
    <n v="4775"/>
    <n v="236161"/>
    <n v="17558"/>
    <n v="36169"/>
    <n v="1194"/>
    <n v="694352"/>
    <n v="356849"/>
    <n v="2711"/>
    <n v="1023805"/>
    <n v="24.28"/>
    <n v="36347585"/>
    <n v="23189987"/>
    <n v="15593882"/>
    <n v="78.45"/>
    <n v="8.92"/>
    <n v="3614"/>
    <n v="3.21"/>
    <n v="82.94"/>
  </r>
  <r>
    <x v="5"/>
    <x v="3"/>
    <x v="3"/>
    <x v="40"/>
    <n v="35814894"/>
    <n v="13919"/>
    <x v="38"/>
    <n v="28388"/>
    <n v="813425"/>
    <n v="33932"/>
    <n v="39720"/>
    <n v="1758"/>
    <n v="420127"/>
    <n v="480679"/>
    <n v="1291"/>
    <n v="945793"/>
    <n v="14.12"/>
    <n v="15273729"/>
    <n v="38702416"/>
    <n v="7647213"/>
    <n v="59.62"/>
    <n v="2.11"/>
    <n v="4705"/>
    <n v="3"/>
    <n v="5.97"/>
  </r>
  <r>
    <x v="5"/>
    <x v="3"/>
    <x v="3"/>
    <x v="41"/>
    <n v="44681713"/>
    <n v="11807"/>
    <x v="39"/>
    <n v="22029"/>
    <n v="686852"/>
    <n v="42243"/>
    <n v="18010"/>
    <n v="212"/>
    <n v="897656"/>
    <n v="255640"/>
    <n v="5374"/>
    <n v="307932"/>
    <n v="28.47"/>
    <n v="3922874"/>
    <n v="29664002"/>
    <n v="9174968"/>
    <n v="89.33"/>
    <n v="5"/>
    <n v="1754"/>
    <n v="1.54"/>
    <n v="16.940000000000001"/>
  </r>
  <r>
    <x v="0"/>
    <x v="2"/>
    <x v="1"/>
    <x v="42"/>
    <n v="44066194"/>
    <n v="16704"/>
    <x v="23"/>
    <n v="54639"/>
    <n v="677341"/>
    <n v="26567"/>
    <n v="13816"/>
    <n v="1305"/>
    <n v="152106"/>
    <n v="254647"/>
    <n v="9592"/>
    <n v="267891"/>
    <n v="25.43"/>
    <n v="23599376"/>
    <n v="15851892"/>
    <n v="17122400"/>
    <n v="17.2"/>
    <n v="9.73"/>
    <n v="3495"/>
    <n v="0.83"/>
    <n v="79.58"/>
  </r>
  <r>
    <x v="5"/>
    <x v="3"/>
    <x v="1"/>
    <x v="43"/>
    <n v="4558848"/>
    <n v="12308"/>
    <x v="40"/>
    <n v="15645"/>
    <n v="287287"/>
    <n v="32376"/>
    <n v="47570"/>
    <n v="40"/>
    <n v="422897"/>
    <n v="428677"/>
    <n v="2655"/>
    <n v="993326"/>
    <n v="9.99"/>
    <n v="23996809"/>
    <n v="1253159"/>
    <n v="21656921"/>
    <n v="42.07"/>
    <n v="4.04"/>
    <n v="4494"/>
    <n v="1.91"/>
    <n v="0.11"/>
  </r>
  <r>
    <x v="3"/>
    <x v="2"/>
    <x v="3"/>
    <x v="44"/>
    <n v="1309178"/>
    <n v="2518"/>
    <x v="41"/>
    <n v="32105"/>
    <n v="996107"/>
    <n v="21922"/>
    <n v="12819"/>
    <n v="1145"/>
    <n v="365713"/>
    <n v="272559"/>
    <n v="6513"/>
    <n v="525333"/>
    <n v="12"/>
    <n v="48625425"/>
    <n v="7261969"/>
    <n v="19671515"/>
    <n v="83.28"/>
    <n v="4.03"/>
    <n v="2427"/>
    <n v="2.13"/>
    <n v="28.24"/>
  </r>
  <r>
    <x v="1"/>
    <x v="4"/>
    <x v="4"/>
    <x v="45"/>
    <n v="7434106"/>
    <n v="14258"/>
    <x v="42"/>
    <n v="14668"/>
    <n v="716637"/>
    <n v="12388"/>
    <n v="14865"/>
    <n v="1250"/>
    <n v="544784"/>
    <n v="310212"/>
    <n v="7394"/>
    <n v="1013782"/>
    <n v="12.7"/>
    <n v="12555029"/>
    <n v="32461634"/>
    <n v="22435115"/>
    <n v="1.92"/>
    <n v="2.35"/>
    <n v="3281"/>
    <n v="3.18"/>
    <n v="58.4"/>
  </r>
  <r>
    <x v="0"/>
    <x v="0"/>
    <x v="2"/>
    <x v="46"/>
    <n v="41540759"/>
    <n v="15092"/>
    <x v="43"/>
    <n v="16960"/>
    <n v="108044"/>
    <n v="29332"/>
    <n v="41886"/>
    <n v="293"/>
    <n v="727949"/>
    <n v="157691"/>
    <n v="704"/>
    <n v="1581622"/>
    <n v="18.79"/>
    <n v="4850258"/>
    <n v="36594365"/>
    <n v="15142186"/>
    <n v="11.22"/>
    <n v="1.59"/>
    <n v="2265"/>
    <n v="4.58"/>
    <n v="59.54"/>
  </r>
  <r>
    <x v="1"/>
    <x v="0"/>
    <x v="2"/>
    <x v="47"/>
    <n v="19839821"/>
    <n v="15689"/>
    <x v="44"/>
    <n v="12357"/>
    <n v="506173"/>
    <n v="46737"/>
    <n v="29398"/>
    <n v="599"/>
    <n v="106182"/>
    <n v="271351"/>
    <n v="825"/>
    <n v="1829261"/>
    <n v="8.6"/>
    <n v="25573433"/>
    <n v="30042249"/>
    <n v="22868254"/>
    <n v="99.06"/>
    <n v="7.53"/>
    <n v="935"/>
    <n v="0.28000000000000003"/>
    <n v="77.72"/>
  </r>
  <r>
    <x v="6"/>
    <x v="2"/>
    <x v="1"/>
    <x v="48"/>
    <n v="31566661"/>
    <n v="11596"/>
    <x v="45"/>
    <n v="65604"/>
    <n v="182062"/>
    <n v="23495"/>
    <n v="6468"/>
    <n v="1290"/>
    <n v="346253"/>
    <n v="55881"/>
    <n v="9196"/>
    <n v="912508"/>
    <n v="29.08"/>
    <n v="4622900"/>
    <n v="33749939"/>
    <n v="28706676"/>
    <n v="28.04"/>
    <n v="7.82"/>
    <n v="914"/>
    <n v="1.29"/>
    <n v="50.59"/>
  </r>
  <r>
    <x v="3"/>
    <x v="0"/>
    <x v="2"/>
    <x v="49"/>
    <n v="34775469"/>
    <n v="12377"/>
    <x v="15"/>
    <n v="52796"/>
    <n v="653694"/>
    <n v="8434"/>
    <n v="35534"/>
    <n v="540"/>
    <n v="509720"/>
    <n v="266113"/>
    <n v="376"/>
    <n v="1728373"/>
    <n v="18.260000000000002"/>
    <n v="25866240"/>
    <n v="32445411"/>
    <n v="26070464"/>
    <n v="97.55"/>
    <n v="9.7100000000000009"/>
    <n v="3544"/>
    <n v="1.05"/>
    <n v="50.94"/>
  </r>
  <r>
    <x v="2"/>
    <x v="3"/>
    <x v="3"/>
    <x v="50"/>
    <n v="22784899"/>
    <n v="14320"/>
    <x v="35"/>
    <n v="16804"/>
    <n v="457104"/>
    <n v="20991"/>
    <n v="6863"/>
    <n v="1782"/>
    <n v="685265"/>
    <n v="343227"/>
    <n v="972"/>
    <n v="1724521"/>
    <n v="11.98"/>
    <n v="3538236"/>
    <n v="7305626"/>
    <n v="4362451"/>
    <n v="18.25"/>
    <n v="7.85"/>
    <n v="3104"/>
    <n v="2.56"/>
    <n v="72.53"/>
  </r>
  <r>
    <x v="3"/>
    <x v="1"/>
    <x v="3"/>
    <x v="51"/>
    <n v="28898068"/>
    <n v="15573"/>
    <x v="46"/>
    <n v="15626"/>
    <n v="70351"/>
    <n v="27472"/>
    <n v="40487"/>
    <n v="1851"/>
    <n v="364134"/>
    <n v="420686"/>
    <n v="4213"/>
    <n v="141926"/>
    <n v="19.350000000000001"/>
    <n v="18859480"/>
    <n v="8340133"/>
    <n v="9632843"/>
    <n v="36.11"/>
    <n v="2.81"/>
    <n v="835"/>
    <n v="2.21"/>
    <n v="49.86"/>
  </r>
  <r>
    <x v="0"/>
    <x v="2"/>
    <x v="1"/>
    <x v="52"/>
    <n v="17030109"/>
    <n v="14350"/>
    <x v="47"/>
    <n v="29132"/>
    <n v="491588"/>
    <n v="40030"/>
    <n v="32232"/>
    <n v="450"/>
    <n v="782760"/>
    <n v="456011"/>
    <n v="443"/>
    <n v="184148"/>
    <n v="11.86"/>
    <n v="21614051"/>
    <n v="39899093"/>
    <n v="25144353"/>
    <n v="75.290000000000006"/>
    <n v="0.88"/>
    <n v="506"/>
    <n v="3.67"/>
    <n v="60.85"/>
  </r>
  <r>
    <x v="2"/>
    <x v="0"/>
    <x v="1"/>
    <x v="53"/>
    <n v="23695170"/>
    <n v="10825"/>
    <x v="48"/>
    <n v="8951"/>
    <n v="706359"/>
    <n v="26849"/>
    <n v="18330"/>
    <n v="1472"/>
    <n v="71825"/>
    <n v="453738"/>
    <n v="7519"/>
    <n v="844382"/>
    <n v="24.53"/>
    <n v="23696030"/>
    <n v="22342050"/>
    <n v="9159153"/>
    <n v="65.78"/>
    <n v="9.86"/>
    <n v="394"/>
    <n v="1.29"/>
    <n v="89.78"/>
  </r>
  <r>
    <x v="6"/>
    <x v="2"/>
    <x v="1"/>
    <x v="54"/>
    <n v="28465074"/>
    <n v="12315"/>
    <x v="49"/>
    <n v="7449"/>
    <n v="235085"/>
    <n v="1541"/>
    <n v="28628"/>
    <n v="1779"/>
    <n v="553718"/>
    <n v="8071"/>
    <n v="754"/>
    <n v="673709"/>
    <n v="17.04"/>
    <n v="2701822"/>
    <n v="2472385"/>
    <n v="22089219"/>
    <n v="58.11"/>
    <n v="3.73"/>
    <n v="603"/>
    <n v="3.01"/>
    <n v="40.15"/>
  </r>
  <r>
    <x v="0"/>
    <x v="2"/>
    <x v="4"/>
    <x v="55"/>
    <n v="35075901"/>
    <n v="19509"/>
    <x v="50"/>
    <n v="20065"/>
    <n v="759171"/>
    <n v="2765"/>
    <n v="45625"/>
    <n v="1084"/>
    <n v="377070"/>
    <n v="359049"/>
    <n v="4735"/>
    <n v="1801164"/>
    <n v="1.26"/>
    <n v="47088530"/>
    <n v="1637346"/>
    <n v="6780231"/>
    <n v="52.99"/>
    <n v="3.46"/>
    <n v="837"/>
    <n v="4.43"/>
    <n v="38.51"/>
  </r>
  <r>
    <x v="4"/>
    <x v="1"/>
    <x v="2"/>
    <x v="56"/>
    <n v="24033566"/>
    <n v="16723"/>
    <x v="51"/>
    <n v="10130"/>
    <n v="499095"/>
    <n v="43074"/>
    <n v="17362"/>
    <n v="1525"/>
    <n v="18029"/>
    <n v="255027"/>
    <n v="5396"/>
    <n v="1726284"/>
    <n v="5.3"/>
    <n v="19416884"/>
    <n v="26545736"/>
    <n v="29536353"/>
    <n v="84.34"/>
    <n v="9.11"/>
    <n v="1869"/>
    <n v="4.5599999999999996"/>
    <n v="0.35"/>
  </r>
  <r>
    <x v="1"/>
    <x v="3"/>
    <x v="1"/>
    <x v="57"/>
    <n v="6279277"/>
    <n v="6664"/>
    <x v="52"/>
    <n v="63287"/>
    <n v="71309"/>
    <n v="37259"/>
    <n v="7307"/>
    <n v="1170"/>
    <n v="578334"/>
    <n v="287895"/>
    <n v="3465"/>
    <n v="1214944"/>
    <n v="25.95"/>
    <n v="26714604"/>
    <n v="9000050"/>
    <n v="26201816"/>
    <n v="23.49"/>
    <n v="6.06"/>
    <n v="754"/>
    <n v="4.8"/>
    <n v="61.34"/>
  </r>
  <r>
    <x v="6"/>
    <x v="2"/>
    <x v="0"/>
    <x v="58"/>
    <n v="44824346"/>
    <n v="3302"/>
    <x v="53"/>
    <n v="52702"/>
    <n v="930950"/>
    <n v="29283"/>
    <n v="27950"/>
    <n v="1709"/>
    <n v="270586"/>
    <n v="319218"/>
    <n v="2711"/>
    <n v="495496"/>
    <n v="16.89"/>
    <n v="11614972"/>
    <n v="37310514"/>
    <n v="24338894"/>
    <n v="44.25"/>
    <n v="2.54"/>
    <n v="4957"/>
    <n v="3.89"/>
    <n v="2.98"/>
  </r>
  <r>
    <x v="1"/>
    <x v="0"/>
    <x v="0"/>
    <x v="59"/>
    <n v="3392371"/>
    <n v="7465"/>
    <x v="54"/>
    <n v="37993"/>
    <n v="687093"/>
    <n v="35851"/>
    <n v="49034"/>
    <n v="1968"/>
    <n v="794480"/>
    <n v="494609"/>
    <n v="2407"/>
    <n v="20455"/>
    <n v="28.51"/>
    <n v="32689149"/>
    <n v="2315632"/>
    <n v="17979419"/>
    <n v="15.55"/>
    <n v="8.9499999999999993"/>
    <n v="1002"/>
    <n v="4.54"/>
    <n v="50.41"/>
  </r>
  <r>
    <x v="5"/>
    <x v="4"/>
    <x v="3"/>
    <x v="60"/>
    <n v="10700944"/>
    <n v="16712"/>
    <x v="55"/>
    <n v="32875"/>
    <n v="120156"/>
    <n v="34625"/>
    <n v="3213"/>
    <n v="789"/>
    <n v="412012"/>
    <n v="23546"/>
    <n v="8814"/>
    <n v="735184"/>
    <n v="2.17"/>
    <n v="28410005"/>
    <n v="27778961"/>
    <n v="7744200"/>
    <n v="59.59"/>
    <n v="9.94"/>
    <n v="864"/>
    <n v="1.25"/>
    <n v="80.42"/>
  </r>
  <r>
    <x v="4"/>
    <x v="2"/>
    <x v="2"/>
    <x v="61"/>
    <n v="46776888"/>
    <n v="11166"/>
    <x v="33"/>
    <n v="7054"/>
    <n v="339144"/>
    <n v="769"/>
    <n v="39277"/>
    <n v="333"/>
    <n v="706876"/>
    <n v="257519"/>
    <n v="5588"/>
    <n v="1514715"/>
    <n v="8.86"/>
    <n v="39207958"/>
    <n v="10120874"/>
    <n v="19598721"/>
    <n v="25.05"/>
    <n v="1.32"/>
    <n v="1598"/>
    <n v="1.07"/>
    <n v="54.99"/>
  </r>
  <r>
    <x v="4"/>
    <x v="2"/>
    <x v="1"/>
    <x v="62"/>
    <n v="24247415"/>
    <n v="17014"/>
    <x v="56"/>
    <n v="49517"/>
    <n v="442848"/>
    <n v="17806"/>
    <n v="37951"/>
    <n v="1904"/>
    <n v="622568"/>
    <n v="169280"/>
    <n v="6104"/>
    <n v="1281473"/>
    <n v="5.81"/>
    <n v="16681715"/>
    <n v="14040843"/>
    <n v="6758672"/>
    <n v="33.380000000000003"/>
    <n v="8.69"/>
    <n v="193"/>
    <n v="0.13"/>
    <n v="26.96"/>
  </r>
  <r>
    <x v="6"/>
    <x v="1"/>
    <x v="0"/>
    <x v="63"/>
    <n v="11039669"/>
    <n v="5008"/>
    <x v="37"/>
    <n v="30670"/>
    <n v="22576"/>
    <n v="24982"/>
    <n v="17283"/>
    <n v="1976"/>
    <n v="262940"/>
    <n v="468495"/>
    <n v="5747"/>
    <n v="433509"/>
    <n v="16.62"/>
    <n v="7394518"/>
    <n v="36470993"/>
    <n v="25025337"/>
    <n v="47.13"/>
    <n v="4.21"/>
    <n v="2827"/>
    <n v="3.56"/>
    <n v="78.62"/>
  </r>
  <r>
    <x v="4"/>
    <x v="3"/>
    <x v="2"/>
    <x v="64"/>
    <n v="20099352"/>
    <n v="4326"/>
    <x v="57"/>
    <n v="50112"/>
    <n v="528608"/>
    <n v="2972"/>
    <n v="25378"/>
    <n v="890"/>
    <n v="68445"/>
    <n v="3923"/>
    <n v="1723"/>
    <n v="1542222"/>
    <n v="11.48"/>
    <n v="2078850"/>
    <n v="17472485"/>
    <n v="11601022"/>
    <n v="2.68"/>
    <n v="5.48"/>
    <n v="3816"/>
    <n v="4.6900000000000004"/>
    <n v="26.97"/>
  </r>
  <r>
    <x v="2"/>
    <x v="4"/>
    <x v="3"/>
    <x v="65"/>
    <n v="47608178"/>
    <n v="4826"/>
    <x v="58"/>
    <n v="29307"/>
    <n v="667110"/>
    <n v="18256"/>
    <n v="11660"/>
    <n v="1165"/>
    <n v="60480"/>
    <n v="144626"/>
    <n v="7224"/>
    <n v="613840"/>
    <n v="4.72"/>
    <n v="15397718"/>
    <n v="16039813"/>
    <n v="15579337"/>
    <n v="9.19"/>
    <n v="9.19"/>
    <n v="3875"/>
    <n v="1.02"/>
    <n v="73.3"/>
  </r>
  <r>
    <x v="4"/>
    <x v="0"/>
    <x v="4"/>
    <x v="66"/>
    <n v="17792909"/>
    <n v="17258"/>
    <x v="25"/>
    <n v="68087"/>
    <n v="628290"/>
    <n v="38367"/>
    <n v="30994"/>
    <n v="43"/>
    <n v="843714"/>
    <n v="135104"/>
    <n v="1919"/>
    <n v="833548"/>
    <n v="19.28"/>
    <n v="44300435"/>
    <n v="24764204"/>
    <n v="8945160"/>
    <n v="68.59"/>
    <n v="9.75"/>
    <n v="1266"/>
    <n v="3.22"/>
    <n v="61.03"/>
  </r>
  <r>
    <x v="1"/>
    <x v="4"/>
    <x v="2"/>
    <x v="67"/>
    <n v="19913938"/>
    <n v="3882"/>
    <x v="59"/>
    <n v="48922"/>
    <n v="185535"/>
    <n v="18653"/>
    <n v="41951"/>
    <n v="143"/>
    <n v="165801"/>
    <n v="403536"/>
    <n v="918"/>
    <n v="383605"/>
    <n v="16.09"/>
    <n v="47731068"/>
    <n v="37916542"/>
    <n v="26451230"/>
    <n v="42.9"/>
    <n v="2.99"/>
    <n v="1857"/>
    <n v="3.76"/>
    <n v="17"/>
  </r>
  <r>
    <x v="1"/>
    <x v="0"/>
    <x v="2"/>
    <x v="68"/>
    <n v="17516233"/>
    <n v="14951"/>
    <x v="60"/>
    <n v="64080"/>
    <n v="27572"/>
    <n v="38043"/>
    <n v="7392"/>
    <n v="1888"/>
    <n v="621170"/>
    <n v="205262"/>
    <n v="4215"/>
    <n v="565772"/>
    <n v="8.24"/>
    <n v="34931239"/>
    <n v="36381298"/>
    <n v="4635073"/>
    <n v="86.48"/>
    <n v="2.52"/>
    <n v="4520"/>
    <n v="4.6500000000000004"/>
    <n v="90.51"/>
  </r>
  <r>
    <x v="0"/>
    <x v="3"/>
    <x v="4"/>
    <x v="69"/>
    <n v="34996200"/>
    <n v="5495"/>
    <x v="61"/>
    <n v="27312"/>
    <n v="281092"/>
    <n v="21133"/>
    <n v="811"/>
    <n v="332"/>
    <n v="53944"/>
    <n v="68065"/>
    <n v="581"/>
    <n v="948719"/>
    <n v="14.39"/>
    <n v="28556408"/>
    <n v="20161970"/>
    <n v="2282583"/>
    <n v="69.47"/>
    <n v="1.26"/>
    <n v="4822"/>
    <n v="3.27"/>
    <n v="20.059999999999999"/>
  </r>
  <r>
    <x v="1"/>
    <x v="0"/>
    <x v="2"/>
    <x v="70"/>
    <n v="49187387"/>
    <n v="1430"/>
    <x v="62"/>
    <n v="67985"/>
    <n v="521114"/>
    <n v="39339"/>
    <n v="41012"/>
    <n v="997"/>
    <n v="297680"/>
    <n v="421524"/>
    <n v="3881"/>
    <n v="1393358"/>
    <n v="22.37"/>
    <n v="7741734"/>
    <n v="34196232"/>
    <n v="896317"/>
    <n v="0.81"/>
    <n v="5.84"/>
    <n v="2789"/>
    <n v="4.8499999999999996"/>
    <n v="98.96"/>
  </r>
  <r>
    <x v="0"/>
    <x v="1"/>
    <x v="3"/>
    <x v="71"/>
    <n v="10728691"/>
    <n v="9915"/>
    <x v="63"/>
    <n v="58608"/>
    <n v="641816"/>
    <n v="25757"/>
    <n v="46675"/>
    <n v="1520"/>
    <n v="509398"/>
    <n v="466296"/>
    <n v="9878"/>
    <n v="659764"/>
    <n v="6.16"/>
    <n v="11583943"/>
    <n v="1413387"/>
    <n v="10190866"/>
    <n v="61.67"/>
    <n v="0.63"/>
    <n v="1339"/>
    <n v="1.79"/>
    <n v="0.73"/>
  </r>
  <r>
    <x v="1"/>
    <x v="1"/>
    <x v="3"/>
    <x v="72"/>
    <n v="42098278"/>
    <n v="13976"/>
    <x v="64"/>
    <n v="41277"/>
    <n v="695186"/>
    <n v="37840"/>
    <n v="47975"/>
    <n v="1419"/>
    <n v="260686"/>
    <n v="272754"/>
    <n v="3909"/>
    <n v="169332"/>
    <n v="8.7899999999999991"/>
    <n v="26617361"/>
    <n v="22481011"/>
    <n v="26355280"/>
    <n v="9.3699999999999992"/>
    <n v="4.41"/>
    <n v="605"/>
    <n v="1.81"/>
    <n v="26.35"/>
  </r>
  <r>
    <x v="2"/>
    <x v="1"/>
    <x v="4"/>
    <x v="73"/>
    <n v="34520414"/>
    <n v="19590"/>
    <x v="65"/>
    <n v="32551"/>
    <n v="90051"/>
    <n v="42399"/>
    <n v="19743"/>
    <n v="54"/>
    <n v="826254"/>
    <n v="437361"/>
    <n v="1999"/>
    <n v="1150223"/>
    <n v="10.38"/>
    <n v="28680360"/>
    <n v="7972439"/>
    <n v="15780970"/>
    <n v="78.09"/>
    <n v="1.2"/>
    <n v="912"/>
    <n v="2.76"/>
    <n v="19.989999999999998"/>
  </r>
  <r>
    <x v="0"/>
    <x v="1"/>
    <x v="1"/>
    <x v="74"/>
    <n v="34327578"/>
    <n v="11630"/>
    <x v="2"/>
    <n v="57597"/>
    <n v="815299"/>
    <n v="44013"/>
    <n v="9979"/>
    <n v="1330"/>
    <n v="683027"/>
    <n v="141709"/>
    <n v="400"/>
    <n v="1639506"/>
    <n v="22.4"/>
    <n v="27805594"/>
    <n v="24479549"/>
    <n v="29999088"/>
    <n v="99.15"/>
    <n v="4.3499999999999996"/>
    <n v="2535"/>
    <n v="1.98"/>
    <n v="1.4"/>
  </r>
  <r>
    <x v="3"/>
    <x v="4"/>
    <x v="0"/>
    <x v="75"/>
    <n v="14407579"/>
    <n v="5684"/>
    <x v="66"/>
    <n v="46212"/>
    <n v="192303"/>
    <n v="32069"/>
    <n v="35979"/>
    <n v="869"/>
    <n v="838599"/>
    <n v="465999"/>
    <n v="3648"/>
    <n v="1785667"/>
    <n v="25.41"/>
    <n v="49141731"/>
    <n v="4276977"/>
    <n v="8689097"/>
    <n v="53.12"/>
    <n v="0.88"/>
    <n v="2405"/>
    <n v="0.11"/>
    <n v="73.239999999999995"/>
  </r>
  <r>
    <x v="5"/>
    <x v="3"/>
    <x v="1"/>
    <x v="76"/>
    <n v="5953174"/>
    <n v="5860"/>
    <x v="67"/>
    <n v="10637"/>
    <n v="984766"/>
    <n v="14706"/>
    <n v="16743"/>
    <n v="1446"/>
    <n v="619315"/>
    <n v="106035"/>
    <n v="5445"/>
    <n v="833441"/>
    <n v="11.29"/>
    <n v="16424078"/>
    <n v="16088423"/>
    <n v="22482929"/>
    <n v="68.28"/>
    <n v="8.43"/>
    <n v="1015"/>
    <n v="3.69"/>
    <n v="69.34"/>
  </r>
  <r>
    <x v="6"/>
    <x v="0"/>
    <x v="2"/>
    <x v="77"/>
    <n v="6624152"/>
    <n v="10229"/>
    <x v="68"/>
    <n v="44258"/>
    <n v="747716"/>
    <n v="38231"/>
    <n v="32459"/>
    <n v="1440"/>
    <n v="83837"/>
    <n v="331378"/>
    <n v="2628"/>
    <n v="1011193"/>
    <n v="8.9"/>
    <n v="19371705"/>
    <n v="35804488"/>
    <n v="14194998"/>
    <n v="23.73"/>
    <n v="2.4900000000000002"/>
    <n v="2445"/>
    <n v="3.78"/>
    <n v="79.239999999999995"/>
  </r>
  <r>
    <x v="1"/>
    <x v="0"/>
    <x v="0"/>
    <x v="78"/>
    <n v="1664795"/>
    <n v="12301"/>
    <x v="20"/>
    <n v="36693"/>
    <n v="782700"/>
    <n v="27909"/>
    <n v="26153"/>
    <n v="1696"/>
    <n v="314112"/>
    <n v="233805"/>
    <n v="1656"/>
    <n v="1178400"/>
    <n v="26.68"/>
    <n v="18797828"/>
    <n v="4833461"/>
    <n v="17883547"/>
    <n v="43.76"/>
    <n v="3.62"/>
    <n v="525"/>
    <n v="3.76"/>
    <n v="25.67"/>
  </r>
  <r>
    <x v="4"/>
    <x v="1"/>
    <x v="4"/>
    <x v="79"/>
    <n v="43832370"/>
    <n v="13181"/>
    <x v="69"/>
    <n v="10824"/>
    <n v="204305"/>
    <n v="40218"/>
    <n v="25715"/>
    <n v="796"/>
    <n v="73394"/>
    <n v="334498"/>
    <n v="620"/>
    <n v="774202"/>
    <n v="29.98"/>
    <n v="18602214"/>
    <n v="11978217"/>
    <n v="8135397"/>
    <n v="85.61"/>
    <n v="8.77"/>
    <n v="1388"/>
    <n v="1.79"/>
    <n v="44.43"/>
  </r>
  <r>
    <x v="1"/>
    <x v="1"/>
    <x v="4"/>
    <x v="80"/>
    <n v="14267053"/>
    <n v="19543"/>
    <x v="70"/>
    <n v="27950"/>
    <n v="307822"/>
    <n v="11095"/>
    <n v="28373"/>
    <n v="324"/>
    <n v="446800"/>
    <n v="254078"/>
    <n v="246"/>
    <n v="817037"/>
    <n v="20.11"/>
    <n v="12804349"/>
    <n v="34847952"/>
    <n v="11340399"/>
    <n v="16.739999999999998"/>
    <n v="7.59"/>
    <n v="574"/>
    <n v="2.66"/>
    <n v="65.91"/>
  </r>
  <r>
    <x v="4"/>
    <x v="2"/>
    <x v="0"/>
    <x v="81"/>
    <n v="2909381"/>
    <n v="12757"/>
    <x v="71"/>
    <n v="24488"/>
    <n v="894993"/>
    <n v="20343"/>
    <n v="30730"/>
    <n v="1733"/>
    <n v="587926"/>
    <n v="144954"/>
    <n v="5212"/>
    <n v="1684743"/>
    <n v="29.7"/>
    <n v="25698182"/>
    <n v="2532230"/>
    <n v="174811"/>
    <n v="26.55"/>
    <n v="2.58"/>
    <n v="2621"/>
    <n v="1.86"/>
    <n v="43.98"/>
  </r>
  <r>
    <x v="5"/>
    <x v="3"/>
    <x v="3"/>
    <x v="82"/>
    <n v="47195860"/>
    <n v="19674"/>
    <x v="72"/>
    <n v="1215"/>
    <n v="800395"/>
    <n v="26469"/>
    <n v="9982"/>
    <n v="1694"/>
    <n v="285232"/>
    <n v="377024"/>
    <n v="3339"/>
    <n v="1694691"/>
    <n v="19.8"/>
    <n v="6817064"/>
    <n v="29642000"/>
    <n v="14858874"/>
    <n v="44.54"/>
    <n v="1.18"/>
    <n v="611"/>
    <n v="0.18"/>
    <n v="69.73"/>
  </r>
  <r>
    <x v="5"/>
    <x v="4"/>
    <x v="0"/>
    <x v="83"/>
    <n v="41080924"/>
    <n v="18283"/>
    <x v="73"/>
    <n v="12523"/>
    <n v="458576"/>
    <n v="1313"/>
    <n v="33361"/>
    <n v="79"/>
    <n v="849833"/>
    <n v="387788"/>
    <n v="6758"/>
    <n v="268724"/>
    <n v="22"/>
    <n v="34429907"/>
    <n v="20812918"/>
    <n v="23034353"/>
    <n v="71.22"/>
    <n v="7.3"/>
    <n v="3752"/>
    <n v="2.86"/>
    <n v="63.4"/>
  </r>
  <r>
    <x v="5"/>
    <x v="0"/>
    <x v="2"/>
    <x v="84"/>
    <n v="25586627"/>
    <n v="2799"/>
    <x v="74"/>
    <n v="69689"/>
    <n v="574722"/>
    <n v="7847"/>
    <n v="45497"/>
    <n v="1054"/>
    <n v="411387"/>
    <n v="327831"/>
    <n v="7086"/>
    <n v="902334"/>
    <n v="11.66"/>
    <n v="301065"/>
    <n v="12414333"/>
    <n v="15571187"/>
    <n v="37.590000000000003"/>
    <n v="4.21"/>
    <n v="4714"/>
    <n v="0.71"/>
    <n v="11.46"/>
  </r>
  <r>
    <x v="4"/>
    <x v="2"/>
    <x v="3"/>
    <x v="85"/>
    <n v="12459207"/>
    <n v="13206"/>
    <x v="75"/>
    <n v="24834"/>
    <n v="67617"/>
    <n v="9166"/>
    <n v="36155"/>
    <n v="984"/>
    <n v="83538"/>
    <n v="344482"/>
    <n v="3010"/>
    <n v="268544"/>
    <n v="12.99"/>
    <n v="44046781"/>
    <n v="33987505"/>
    <n v="6920881"/>
    <n v="92.77"/>
    <n v="7.78"/>
    <n v="1255"/>
    <n v="0.49"/>
    <n v="78.099999999999994"/>
  </r>
  <r>
    <x v="1"/>
    <x v="2"/>
    <x v="4"/>
    <x v="86"/>
    <n v="32793149"/>
    <n v="16639"/>
    <x v="76"/>
    <n v="35474"/>
    <n v="938773"/>
    <n v="9930"/>
    <n v="22422"/>
    <n v="1135"/>
    <n v="425361"/>
    <n v="337964"/>
    <n v="4719"/>
    <n v="1744579"/>
    <n v="4.32"/>
    <n v="43973529"/>
    <n v="32918012"/>
    <n v="20138560"/>
    <n v="9.4499999999999993"/>
    <n v="4.7300000000000004"/>
    <n v="4083"/>
    <n v="3.8"/>
    <n v="72.069999999999993"/>
  </r>
  <r>
    <x v="5"/>
    <x v="0"/>
    <x v="0"/>
    <x v="87"/>
    <n v="20560832"/>
    <n v="3500"/>
    <x v="68"/>
    <n v="44066"/>
    <n v="642857"/>
    <n v="3285"/>
    <n v="24088"/>
    <n v="557"/>
    <n v="663497"/>
    <n v="78104"/>
    <n v="2368"/>
    <n v="752545"/>
    <n v="24.68"/>
    <n v="44919619"/>
    <n v="30009435"/>
    <n v="29250939"/>
    <n v="37.08"/>
    <n v="3.79"/>
    <n v="3897"/>
    <n v="0.15"/>
    <n v="65.58"/>
  </r>
  <r>
    <x v="2"/>
    <x v="4"/>
    <x v="1"/>
    <x v="88"/>
    <n v="577175"/>
    <n v="7264"/>
    <x v="77"/>
    <n v="11400"/>
    <n v="732672"/>
    <n v="35863"/>
    <n v="22590"/>
    <n v="864"/>
    <n v="369855"/>
    <n v="22172"/>
    <n v="1839"/>
    <n v="1046962"/>
    <n v="27.93"/>
    <n v="24657125"/>
    <n v="10475474"/>
    <n v="19759618"/>
    <n v="70.900000000000006"/>
    <n v="4.79"/>
    <n v="4251"/>
    <n v="4.8"/>
    <n v="15.51"/>
  </r>
  <r>
    <x v="0"/>
    <x v="2"/>
    <x v="1"/>
    <x v="89"/>
    <n v="11574355"/>
    <n v="11864"/>
    <x v="78"/>
    <n v="11345"/>
    <n v="884784"/>
    <n v="16704"/>
    <n v="14865"/>
    <n v="716"/>
    <n v="793854"/>
    <n v="81115"/>
    <n v="2903"/>
    <n v="1932040"/>
    <n v="18.7"/>
    <n v="44076567"/>
    <n v="30807200"/>
    <n v="19235022"/>
    <n v="22.6"/>
    <n v="7.61"/>
    <n v="2288"/>
    <n v="2.62"/>
    <n v="26.8"/>
  </r>
  <r>
    <x v="4"/>
    <x v="2"/>
    <x v="2"/>
    <x v="90"/>
    <n v="19356024"/>
    <n v="5191"/>
    <x v="43"/>
    <n v="34896"/>
    <n v="867164"/>
    <n v="18705"/>
    <n v="36179"/>
    <n v="1587"/>
    <n v="618485"/>
    <n v="225175"/>
    <n v="6205"/>
    <n v="128319"/>
    <n v="10.31"/>
    <n v="44083277"/>
    <n v="15831188"/>
    <n v="22643635"/>
    <n v="65.64"/>
    <n v="9.07"/>
    <n v="1210"/>
    <n v="4.92"/>
    <n v="39.32"/>
  </r>
  <r>
    <x v="4"/>
    <x v="3"/>
    <x v="1"/>
    <x v="91"/>
    <n v="20289002"/>
    <n v="2758"/>
    <x v="79"/>
    <n v="29899"/>
    <n v="511874"/>
    <n v="555"/>
    <n v="46414"/>
    <n v="1673"/>
    <n v="176293"/>
    <n v="220110"/>
    <n v="4395"/>
    <n v="513193"/>
    <n v="4.62"/>
    <n v="21556648"/>
    <n v="12978292"/>
    <n v="13543817"/>
    <n v="16.420000000000002"/>
    <n v="0.97"/>
    <n v="4845"/>
    <n v="0.38"/>
    <n v="27.99"/>
  </r>
  <r>
    <x v="1"/>
    <x v="4"/>
    <x v="0"/>
    <x v="92"/>
    <n v="2058242"/>
    <n v="18425"/>
    <x v="0"/>
    <n v="29229"/>
    <n v="370792"/>
    <n v="21323"/>
    <n v="19579"/>
    <n v="471"/>
    <n v="450972"/>
    <n v="72846"/>
    <n v="5767"/>
    <n v="1528965"/>
    <n v="7.95"/>
    <n v="15378624"/>
    <n v="11917769"/>
    <n v="11156500"/>
    <n v="5.6"/>
    <n v="5.48"/>
    <n v="3875"/>
    <n v="2.96"/>
    <n v="22.78"/>
  </r>
  <r>
    <x v="4"/>
    <x v="2"/>
    <x v="0"/>
    <x v="93"/>
    <n v="33148168"/>
    <n v="15138"/>
    <x v="51"/>
    <n v="6583"/>
    <n v="82494"/>
    <n v="5432"/>
    <n v="48516"/>
    <n v="73"/>
    <n v="776885"/>
    <n v="176874"/>
    <n v="3691"/>
    <n v="107960"/>
    <n v="7.66"/>
    <n v="41517456"/>
    <n v="10971700"/>
    <n v="14960420"/>
    <n v="12.1"/>
    <n v="0.81"/>
    <n v="121"/>
    <n v="1.81"/>
    <n v="80.540000000000006"/>
  </r>
  <r>
    <x v="4"/>
    <x v="4"/>
    <x v="1"/>
    <x v="94"/>
    <n v="13574362"/>
    <n v="11884"/>
    <x v="80"/>
    <n v="5897"/>
    <n v="745265"/>
    <n v="1386"/>
    <n v="25748"/>
    <n v="1576"/>
    <n v="856438"/>
    <n v="364504"/>
    <n v="7470"/>
    <n v="40015"/>
    <n v="18.41"/>
    <n v="41838700"/>
    <n v="10205997"/>
    <n v="5533198"/>
    <n v="93"/>
    <n v="4.95"/>
    <n v="804"/>
    <n v="4.2300000000000004"/>
    <n v="63.82"/>
  </r>
  <r>
    <x v="5"/>
    <x v="0"/>
    <x v="0"/>
    <x v="95"/>
    <n v="49875565"/>
    <n v="12328"/>
    <x v="81"/>
    <n v="5567"/>
    <n v="602513"/>
    <n v="44007"/>
    <n v="6782"/>
    <n v="1502"/>
    <n v="200515"/>
    <n v="399373"/>
    <n v="3841"/>
    <n v="1383433"/>
    <n v="28.35"/>
    <n v="36535063"/>
    <n v="31799048"/>
    <n v="25165142"/>
    <n v="55.18"/>
    <n v="8.91"/>
    <n v="3902"/>
    <n v="1.87"/>
    <n v="56.55"/>
  </r>
  <r>
    <x v="1"/>
    <x v="1"/>
    <x v="2"/>
    <x v="96"/>
    <n v="38373885"/>
    <n v="10064"/>
    <x v="82"/>
    <n v="14329"/>
    <n v="83867"/>
    <n v="10619"/>
    <n v="24884"/>
    <n v="588"/>
    <n v="124838"/>
    <n v="128359"/>
    <n v="4348"/>
    <n v="729165"/>
    <n v="1.45"/>
    <n v="48125850"/>
    <n v="39471077"/>
    <n v="5642957"/>
    <n v="79.63"/>
    <n v="3.94"/>
    <n v="954"/>
    <n v="1.38"/>
    <n v="22.6"/>
  </r>
  <r>
    <x v="5"/>
    <x v="2"/>
    <x v="3"/>
    <x v="97"/>
    <n v="22225224"/>
    <n v="3323"/>
    <x v="57"/>
    <n v="1228"/>
    <n v="169600"/>
    <n v="6854"/>
    <n v="19741"/>
    <n v="1410"/>
    <n v="28343"/>
    <n v="31016"/>
    <n v="6621"/>
    <n v="933478"/>
    <n v="0.03"/>
    <n v="15759622"/>
    <n v="29677362"/>
    <n v="25794761"/>
    <n v="33.270000000000003"/>
    <n v="9.36"/>
    <n v="101"/>
    <n v="4.3"/>
    <n v="91.81"/>
  </r>
  <r>
    <x v="0"/>
    <x v="3"/>
    <x v="2"/>
    <x v="98"/>
    <n v="5945315"/>
    <n v="14417"/>
    <x v="52"/>
    <n v="38052"/>
    <n v="780957"/>
    <n v="42964"/>
    <n v="10141"/>
    <n v="1722"/>
    <n v="664906"/>
    <n v="27368"/>
    <n v="1392"/>
    <n v="146109"/>
    <n v="18.010000000000002"/>
    <n v="10283336"/>
    <n v="22852982"/>
    <n v="17352823"/>
    <n v="59.27"/>
    <n v="6.49"/>
    <n v="2671"/>
    <n v="1.94"/>
    <n v="19.12"/>
  </r>
  <r>
    <x v="0"/>
    <x v="0"/>
    <x v="2"/>
    <x v="99"/>
    <n v="9052442"/>
    <n v="4588"/>
    <x v="83"/>
    <n v="58769"/>
    <n v="866404"/>
    <n v="48801"/>
    <n v="798"/>
    <n v="1905"/>
    <n v="365708"/>
    <n v="175150"/>
    <n v="6060"/>
    <n v="478508"/>
    <n v="8.52"/>
    <n v="3031402"/>
    <n v="26388002"/>
    <n v="10139272"/>
    <n v="49.5"/>
    <n v="9.3699999999999992"/>
    <n v="3240"/>
    <n v="0.18"/>
    <n v="79.5"/>
  </r>
  <r>
    <x v="5"/>
    <x v="4"/>
    <x v="0"/>
    <x v="100"/>
    <n v="10118395"/>
    <n v="12591"/>
    <x v="84"/>
    <n v="47032"/>
    <n v="459818"/>
    <n v="7637"/>
    <n v="16194"/>
    <n v="563"/>
    <n v="228497"/>
    <n v="244066"/>
    <n v="4255"/>
    <n v="1835927"/>
    <n v="26.42"/>
    <n v="3436386"/>
    <n v="30512977"/>
    <n v="19291947"/>
    <n v="94.57"/>
    <n v="7.69"/>
    <n v="3998"/>
    <n v="2.0099999999999998"/>
    <n v="96.67"/>
  </r>
  <r>
    <x v="0"/>
    <x v="0"/>
    <x v="3"/>
    <x v="101"/>
    <n v="37066791"/>
    <n v="8762"/>
    <x v="85"/>
    <n v="34686"/>
    <n v="883693"/>
    <n v="21225"/>
    <n v="30907"/>
    <n v="1953"/>
    <n v="126917"/>
    <n v="23359"/>
    <n v="4300"/>
    <n v="934671"/>
    <n v="9.82"/>
    <n v="33750393"/>
    <n v="12576692"/>
    <n v="9525030"/>
    <n v="74.760000000000005"/>
    <n v="1.48"/>
    <n v="1337"/>
    <n v="3.31"/>
    <n v="72.709999999999994"/>
  </r>
  <r>
    <x v="1"/>
    <x v="2"/>
    <x v="0"/>
    <x v="102"/>
    <n v="10214177"/>
    <n v="9218"/>
    <x v="86"/>
    <n v="64261"/>
    <n v="616036"/>
    <n v="45730"/>
    <n v="2899"/>
    <n v="1456"/>
    <n v="117085"/>
    <n v="446899"/>
    <n v="3338"/>
    <n v="1138330"/>
    <n v="8.69"/>
    <n v="41291531"/>
    <n v="6547652"/>
    <n v="10656132"/>
    <n v="73.05"/>
    <n v="2.7"/>
    <n v="4830"/>
    <n v="1.35"/>
    <n v="99.29"/>
  </r>
  <r>
    <x v="6"/>
    <x v="4"/>
    <x v="4"/>
    <x v="103"/>
    <n v="10305436"/>
    <n v="3601"/>
    <x v="87"/>
    <n v="3809"/>
    <n v="255265"/>
    <n v="26739"/>
    <n v="9579"/>
    <n v="1435"/>
    <n v="555134"/>
    <n v="79500"/>
    <n v="5487"/>
    <n v="222775"/>
    <n v="8.09"/>
    <n v="3746050"/>
    <n v="22911000"/>
    <n v="4249112"/>
    <n v="4.6399999999999997"/>
    <n v="4.24"/>
    <n v="1822"/>
    <n v="2.2200000000000002"/>
    <n v="65.11"/>
  </r>
  <r>
    <x v="5"/>
    <x v="1"/>
    <x v="0"/>
    <x v="104"/>
    <n v="7704776"/>
    <n v="12347"/>
    <x v="88"/>
    <n v="42785"/>
    <n v="520493"/>
    <n v="47708"/>
    <n v="21667"/>
    <n v="466"/>
    <n v="219856"/>
    <n v="296537"/>
    <n v="3514"/>
    <n v="1354868"/>
    <n v="4.3499999999999996"/>
    <n v="4126030"/>
    <n v="35888163"/>
    <n v="17700663"/>
    <n v="54.97"/>
    <n v="2.12"/>
    <n v="3952"/>
    <n v="0.38"/>
    <n v="21.75"/>
  </r>
  <r>
    <x v="2"/>
    <x v="0"/>
    <x v="0"/>
    <x v="105"/>
    <n v="20486039"/>
    <n v="11015"/>
    <x v="89"/>
    <n v="37547"/>
    <n v="165404"/>
    <n v="10618"/>
    <n v="10151"/>
    <n v="598"/>
    <n v="385796"/>
    <n v="111681"/>
    <n v="759"/>
    <n v="728513"/>
    <n v="17.45"/>
    <n v="43447817"/>
    <n v="12520921"/>
    <n v="7551209"/>
    <n v="46.7"/>
    <n v="5.2"/>
    <n v="3970"/>
    <n v="2.98"/>
    <n v="20.38"/>
  </r>
  <r>
    <x v="2"/>
    <x v="2"/>
    <x v="0"/>
    <x v="106"/>
    <n v="5551646"/>
    <n v="2882"/>
    <x v="90"/>
    <n v="43818"/>
    <n v="911913"/>
    <n v="36561"/>
    <n v="19666"/>
    <n v="1644"/>
    <n v="898701"/>
    <n v="7143"/>
    <n v="9915"/>
    <n v="677894"/>
    <n v="5.05"/>
    <n v="29263648"/>
    <n v="13525214"/>
    <n v="2664056"/>
    <n v="92.78"/>
    <n v="4.9800000000000004"/>
    <n v="999"/>
    <n v="3.81"/>
    <n v="32.46"/>
  </r>
  <r>
    <x v="4"/>
    <x v="3"/>
    <x v="3"/>
    <x v="107"/>
    <n v="4125654"/>
    <n v="13472"/>
    <x v="91"/>
    <n v="66681"/>
    <n v="654817"/>
    <n v="7373"/>
    <n v="21628"/>
    <n v="991"/>
    <n v="627179"/>
    <n v="181602"/>
    <n v="8621"/>
    <n v="747355"/>
    <n v="12.74"/>
    <n v="18919213"/>
    <n v="27657055"/>
    <n v="16589401"/>
    <n v="25.73"/>
    <n v="9.58"/>
    <n v="3188"/>
    <n v="2.13"/>
    <n v="0.71"/>
  </r>
  <r>
    <x v="0"/>
    <x v="4"/>
    <x v="0"/>
    <x v="108"/>
    <n v="785711"/>
    <n v="202"/>
    <x v="92"/>
    <n v="38333"/>
    <n v="997433"/>
    <n v="35281"/>
    <n v="11944"/>
    <n v="1932"/>
    <n v="485100"/>
    <n v="107109"/>
    <n v="6793"/>
    <n v="910222"/>
    <n v="13.83"/>
    <n v="37633594"/>
    <n v="2637588"/>
    <n v="21730623"/>
    <n v="26.98"/>
    <n v="4.62"/>
    <n v="2466"/>
    <n v="2.16"/>
    <n v="68.17"/>
  </r>
  <r>
    <x v="2"/>
    <x v="0"/>
    <x v="3"/>
    <x v="109"/>
    <n v="22555388"/>
    <n v="11206"/>
    <x v="93"/>
    <n v="17576"/>
    <n v="987710"/>
    <n v="20187"/>
    <n v="42547"/>
    <n v="736"/>
    <n v="447242"/>
    <n v="301137"/>
    <n v="2459"/>
    <n v="1922086"/>
    <n v="0.61"/>
    <n v="31305989"/>
    <n v="39932433"/>
    <n v="23225031"/>
    <n v="41.13"/>
    <n v="7.96"/>
    <n v="2329"/>
    <n v="0.53"/>
    <n v="26.87"/>
  </r>
  <r>
    <x v="4"/>
    <x v="0"/>
    <x v="1"/>
    <x v="110"/>
    <n v="43566429"/>
    <n v="11158"/>
    <x v="94"/>
    <n v="40405"/>
    <n v="485353"/>
    <n v="2327"/>
    <n v="23296"/>
    <n v="993"/>
    <n v="860075"/>
    <n v="433958"/>
    <n v="5273"/>
    <n v="1106455"/>
    <n v="0.5"/>
    <n v="13739905"/>
    <n v="15008397"/>
    <n v="23758003"/>
    <n v="24.34"/>
    <n v="9.4499999999999993"/>
    <n v="1475"/>
    <n v="1.0900000000000001"/>
    <n v="81.52"/>
  </r>
  <r>
    <x v="6"/>
    <x v="1"/>
    <x v="4"/>
    <x v="111"/>
    <n v="17853135"/>
    <n v="2850"/>
    <x v="95"/>
    <n v="32601"/>
    <n v="265395"/>
    <n v="32391"/>
    <n v="7622"/>
    <n v="247"/>
    <n v="823719"/>
    <n v="209237"/>
    <n v="1718"/>
    <n v="120894"/>
    <n v="15.61"/>
    <n v="6404892"/>
    <n v="1565831"/>
    <n v="25221976"/>
    <n v="12.92"/>
    <n v="8.83"/>
    <n v="1634"/>
    <n v="0.86"/>
    <n v="35.92"/>
  </r>
  <r>
    <x v="1"/>
    <x v="1"/>
    <x v="3"/>
    <x v="112"/>
    <n v="15189949"/>
    <n v="5360"/>
    <x v="71"/>
    <n v="68946"/>
    <n v="964221"/>
    <n v="41577"/>
    <n v="32079"/>
    <n v="1604"/>
    <n v="820515"/>
    <n v="162040"/>
    <n v="9457"/>
    <n v="591127"/>
    <n v="20.88"/>
    <n v="24355446"/>
    <n v="21063474"/>
    <n v="16819567"/>
    <n v="85.74"/>
    <n v="2.48"/>
    <n v="1096"/>
    <n v="2.46"/>
    <n v="48"/>
  </r>
  <r>
    <x v="1"/>
    <x v="3"/>
    <x v="1"/>
    <x v="113"/>
    <n v="31885867"/>
    <n v="9994"/>
    <x v="33"/>
    <n v="68356"/>
    <n v="886540"/>
    <n v="18549"/>
    <n v="16215"/>
    <n v="1143"/>
    <n v="144135"/>
    <n v="288553"/>
    <n v="5423"/>
    <n v="1079332"/>
    <n v="28.26"/>
    <n v="3429031"/>
    <n v="16384443"/>
    <n v="28817483"/>
    <n v="55.83"/>
    <n v="5.21"/>
    <n v="2215"/>
    <n v="2.69"/>
    <n v="96.57"/>
  </r>
  <r>
    <x v="1"/>
    <x v="3"/>
    <x v="3"/>
    <x v="114"/>
    <n v="20608322"/>
    <n v="2660"/>
    <x v="86"/>
    <n v="53116"/>
    <n v="683387"/>
    <n v="39220"/>
    <n v="27341"/>
    <n v="66"/>
    <n v="177632"/>
    <n v="285528"/>
    <n v="1308"/>
    <n v="669043"/>
    <n v="5.37"/>
    <n v="27751264"/>
    <n v="34498977"/>
    <n v="14346888"/>
    <n v="86.14"/>
    <n v="3.8"/>
    <n v="4073"/>
    <n v="4.75"/>
    <n v="24.22"/>
  </r>
  <r>
    <x v="2"/>
    <x v="2"/>
    <x v="3"/>
    <x v="115"/>
    <n v="9741354"/>
    <n v="12117"/>
    <x v="96"/>
    <n v="63894"/>
    <n v="98382"/>
    <n v="7642"/>
    <n v="13944"/>
    <n v="572"/>
    <n v="261109"/>
    <n v="389045"/>
    <n v="1050"/>
    <n v="1230133"/>
    <n v="3.1"/>
    <n v="48324284"/>
    <n v="38362403"/>
    <n v="17005193"/>
    <n v="83.11"/>
    <n v="4.3"/>
    <n v="1226"/>
    <n v="0.46"/>
    <n v="72.13"/>
  </r>
  <r>
    <x v="6"/>
    <x v="2"/>
    <x v="4"/>
    <x v="116"/>
    <n v="48013151"/>
    <n v="1154"/>
    <x v="97"/>
    <n v="35635"/>
    <n v="480767"/>
    <n v="14435"/>
    <n v="10105"/>
    <n v="1979"/>
    <n v="646731"/>
    <n v="113359"/>
    <n v="5479"/>
    <n v="1278879"/>
    <n v="1.56"/>
    <n v="7888323"/>
    <n v="25449021"/>
    <n v="16472559"/>
    <n v="28.2"/>
    <n v="3.93"/>
    <n v="2210"/>
    <n v="3.04"/>
    <n v="75.510000000000005"/>
  </r>
  <r>
    <x v="2"/>
    <x v="3"/>
    <x v="2"/>
    <x v="117"/>
    <n v="34476813"/>
    <n v="10778"/>
    <x v="98"/>
    <n v="8465"/>
    <n v="10583"/>
    <n v="33760"/>
    <n v="25968"/>
    <n v="1350"/>
    <n v="770322"/>
    <n v="100904"/>
    <n v="2249"/>
    <n v="1453817"/>
    <n v="13.08"/>
    <n v="33327427"/>
    <n v="882816"/>
    <n v="29420744"/>
    <n v="54.77"/>
    <n v="8.35"/>
    <n v="1081"/>
    <n v="2.68"/>
    <n v="22.1"/>
  </r>
  <r>
    <x v="0"/>
    <x v="3"/>
    <x v="2"/>
    <x v="118"/>
    <n v="47097588"/>
    <n v="7313"/>
    <x v="24"/>
    <n v="57754"/>
    <n v="575675"/>
    <n v="38192"/>
    <n v="37018"/>
    <n v="1943"/>
    <n v="689550"/>
    <n v="69100"/>
    <n v="2809"/>
    <n v="675075"/>
    <n v="18.690000000000001"/>
    <n v="45325212"/>
    <n v="496626"/>
    <n v="24884029"/>
    <n v="8.32"/>
    <n v="4.8"/>
    <n v="3338"/>
    <n v="2.63"/>
    <n v="50.1"/>
  </r>
  <r>
    <x v="2"/>
    <x v="4"/>
    <x v="3"/>
    <x v="119"/>
    <n v="25499678"/>
    <n v="1964"/>
    <x v="99"/>
    <n v="39871"/>
    <n v="286248"/>
    <n v="4381"/>
    <n v="18716"/>
    <n v="702"/>
    <n v="373877"/>
    <n v="84279"/>
    <n v="2921"/>
    <n v="988601"/>
    <n v="25.22"/>
    <n v="28101860"/>
    <n v="20091220"/>
    <n v="7495001"/>
    <n v="91.53"/>
    <n v="5.48"/>
    <n v="4576"/>
    <n v="4.38"/>
    <n v="35.020000000000003"/>
  </r>
  <r>
    <x v="6"/>
    <x v="1"/>
    <x v="0"/>
    <x v="120"/>
    <n v="11559860"/>
    <n v="19506"/>
    <x v="79"/>
    <n v="63874"/>
    <n v="537512"/>
    <n v="31047"/>
    <n v="43526"/>
    <n v="469"/>
    <n v="226284"/>
    <n v="455423"/>
    <n v="4676"/>
    <n v="492599"/>
    <n v="20.48"/>
    <n v="49305277"/>
    <n v="4426719"/>
    <n v="12491994"/>
    <n v="40.43"/>
    <n v="9.83"/>
    <n v="1365"/>
    <n v="1.1100000000000001"/>
    <n v="77.19"/>
  </r>
  <r>
    <x v="6"/>
    <x v="2"/>
    <x v="1"/>
    <x v="121"/>
    <n v="5400164"/>
    <n v="456"/>
    <x v="100"/>
    <n v="30511"/>
    <n v="848056"/>
    <n v="19558"/>
    <n v="38076"/>
    <n v="492"/>
    <n v="15425"/>
    <n v="327293"/>
    <n v="4041"/>
    <n v="496283"/>
    <n v="6.25"/>
    <n v="22771515"/>
    <n v="7204563"/>
    <n v="20417595"/>
    <n v="39.369999999999997"/>
    <n v="1.07"/>
    <n v="942"/>
    <n v="0.3"/>
    <n v="62.25"/>
  </r>
  <r>
    <x v="0"/>
    <x v="1"/>
    <x v="0"/>
    <x v="122"/>
    <n v="10409551"/>
    <n v="13739"/>
    <x v="101"/>
    <n v="49821"/>
    <n v="450274"/>
    <n v="30782"/>
    <n v="31482"/>
    <n v="1724"/>
    <n v="742647"/>
    <n v="291509"/>
    <n v="2417"/>
    <n v="618231"/>
    <n v="13.85"/>
    <n v="7921275"/>
    <n v="32861749"/>
    <n v="3791838"/>
    <n v="30.28"/>
    <n v="5.14"/>
    <n v="156"/>
    <n v="3.39"/>
    <n v="47.6"/>
  </r>
  <r>
    <x v="6"/>
    <x v="1"/>
    <x v="0"/>
    <x v="123"/>
    <n v="14452275"/>
    <n v="216"/>
    <x v="46"/>
    <n v="66776"/>
    <n v="891752"/>
    <n v="4782"/>
    <n v="34639"/>
    <n v="662"/>
    <n v="83684"/>
    <n v="474806"/>
    <n v="532"/>
    <n v="743476"/>
    <n v="27.31"/>
    <n v="10202707"/>
    <n v="17231534"/>
    <n v="15879826"/>
    <n v="46.07"/>
    <n v="7.85"/>
    <n v="3130"/>
    <n v="1.79"/>
    <n v="77.94"/>
  </r>
  <r>
    <x v="6"/>
    <x v="3"/>
    <x v="3"/>
    <x v="124"/>
    <n v="6836356"/>
    <n v="558"/>
    <x v="102"/>
    <n v="45462"/>
    <n v="228444"/>
    <n v="25881"/>
    <n v="46920"/>
    <n v="285"/>
    <n v="601303"/>
    <n v="260326"/>
    <n v="9090"/>
    <n v="149188"/>
    <n v="9.8000000000000007"/>
    <n v="48504104"/>
    <n v="8103974"/>
    <n v="3951210"/>
    <n v="25.18"/>
    <n v="1.94"/>
    <n v="794"/>
    <n v="0.19"/>
    <n v="23.52"/>
  </r>
  <r>
    <x v="1"/>
    <x v="4"/>
    <x v="3"/>
    <x v="125"/>
    <n v="22956258"/>
    <n v="18095"/>
    <x v="18"/>
    <n v="62382"/>
    <n v="947803"/>
    <n v="40228"/>
    <n v="23014"/>
    <n v="1979"/>
    <n v="199830"/>
    <n v="23980"/>
    <n v="8167"/>
    <n v="562032"/>
    <n v="14.96"/>
    <n v="45826774"/>
    <n v="17055645"/>
    <n v="5489189"/>
    <n v="37.49"/>
    <n v="6.31"/>
    <n v="671"/>
    <n v="1.33"/>
    <n v="75.36"/>
  </r>
  <r>
    <x v="0"/>
    <x v="0"/>
    <x v="3"/>
    <x v="126"/>
    <n v="17678283"/>
    <n v="3714"/>
    <x v="103"/>
    <n v="33574"/>
    <n v="341716"/>
    <n v="29409"/>
    <n v="20441"/>
    <n v="1937"/>
    <n v="661215"/>
    <n v="346823"/>
    <n v="1469"/>
    <n v="125697"/>
    <n v="28.76"/>
    <n v="24098028"/>
    <n v="32467206"/>
    <n v="19157637"/>
    <n v="79.989999999999995"/>
    <n v="2.77"/>
    <n v="4290"/>
    <n v="1.62"/>
    <n v="86.54"/>
  </r>
  <r>
    <x v="3"/>
    <x v="4"/>
    <x v="3"/>
    <x v="127"/>
    <n v="24371392"/>
    <n v="19923"/>
    <x v="70"/>
    <n v="42910"/>
    <n v="872901"/>
    <n v="19462"/>
    <n v="40098"/>
    <n v="1631"/>
    <n v="308713"/>
    <n v="393571"/>
    <n v="9444"/>
    <n v="1530371"/>
    <n v="22.04"/>
    <n v="48438225"/>
    <n v="21295253"/>
    <n v="27750286"/>
    <n v="83.43"/>
    <n v="8.74"/>
    <n v="870"/>
    <n v="3.12"/>
    <n v="87.86"/>
  </r>
  <r>
    <x v="3"/>
    <x v="4"/>
    <x v="2"/>
    <x v="128"/>
    <n v="14204180"/>
    <n v="13100"/>
    <x v="104"/>
    <n v="26186"/>
    <n v="865360"/>
    <n v="2983"/>
    <n v="44145"/>
    <n v="311"/>
    <n v="750195"/>
    <n v="394818"/>
    <n v="7292"/>
    <n v="1689936"/>
    <n v="22.43"/>
    <n v="42215024"/>
    <n v="9013937"/>
    <n v="6735068"/>
    <n v="30.42"/>
    <n v="3.61"/>
    <n v="461"/>
    <n v="0.95"/>
    <n v="78.37"/>
  </r>
  <r>
    <x v="6"/>
    <x v="1"/>
    <x v="3"/>
    <x v="129"/>
    <n v="960796"/>
    <n v="730"/>
    <x v="85"/>
    <n v="23813"/>
    <n v="467690"/>
    <n v="31933"/>
    <n v="38025"/>
    <n v="308"/>
    <n v="101354"/>
    <n v="201364"/>
    <n v="8961"/>
    <n v="396340"/>
    <n v="7.57"/>
    <n v="21467352"/>
    <n v="7173449"/>
    <n v="15904558"/>
    <n v="46.9"/>
    <n v="3.63"/>
    <n v="163"/>
    <n v="2.12"/>
    <n v="40.799999999999997"/>
  </r>
  <r>
    <x v="3"/>
    <x v="4"/>
    <x v="2"/>
    <x v="130"/>
    <n v="41795048"/>
    <n v="18958"/>
    <x v="105"/>
    <n v="19557"/>
    <n v="267285"/>
    <n v="46950"/>
    <n v="34512"/>
    <n v="774"/>
    <n v="841403"/>
    <n v="327668"/>
    <n v="9025"/>
    <n v="237028"/>
    <n v="12.44"/>
    <n v="42245952"/>
    <n v="18404471"/>
    <n v="21385132"/>
    <n v="87.38"/>
    <n v="6.18"/>
    <n v="2496"/>
    <n v="2.46"/>
    <n v="98.18"/>
  </r>
  <r>
    <x v="3"/>
    <x v="2"/>
    <x v="2"/>
    <x v="131"/>
    <n v="15003356"/>
    <n v="18554"/>
    <x v="106"/>
    <n v="29060"/>
    <n v="679710"/>
    <n v="2523"/>
    <n v="31395"/>
    <n v="1120"/>
    <n v="295349"/>
    <n v="469154"/>
    <n v="7142"/>
    <n v="694411"/>
    <n v="2.4700000000000002"/>
    <n v="33432821"/>
    <n v="12584519"/>
    <n v="10840565"/>
    <n v="5.27"/>
    <n v="2.2400000000000002"/>
    <n v="3396"/>
    <n v="2.35"/>
    <n v="37.96"/>
  </r>
  <r>
    <x v="6"/>
    <x v="1"/>
    <x v="3"/>
    <x v="132"/>
    <n v="6494376"/>
    <n v="4407"/>
    <x v="107"/>
    <n v="59866"/>
    <n v="469298"/>
    <n v="9677"/>
    <n v="4673"/>
    <n v="964"/>
    <n v="175481"/>
    <n v="333210"/>
    <n v="6000"/>
    <n v="1056752"/>
    <n v="18.2"/>
    <n v="49241934"/>
    <n v="22280410"/>
    <n v="2878596"/>
    <n v="88.91"/>
    <n v="3.21"/>
    <n v="4269"/>
    <n v="4.87"/>
    <n v="63.86"/>
  </r>
  <r>
    <x v="3"/>
    <x v="2"/>
    <x v="4"/>
    <x v="133"/>
    <n v="39912770"/>
    <n v="1413"/>
    <x v="62"/>
    <n v="7080"/>
    <n v="858303"/>
    <n v="10292"/>
    <n v="38687"/>
    <n v="1136"/>
    <n v="220178"/>
    <n v="172538"/>
    <n v="7081"/>
    <n v="1927318"/>
    <n v="3.11"/>
    <n v="18710846"/>
    <n v="11537289"/>
    <n v="19391309"/>
    <n v="21.92"/>
    <n v="4.46"/>
    <n v="135"/>
    <n v="0.32"/>
    <n v="16.11"/>
  </r>
  <r>
    <x v="2"/>
    <x v="0"/>
    <x v="1"/>
    <x v="134"/>
    <n v="5489904"/>
    <n v="9573"/>
    <x v="108"/>
    <n v="14854"/>
    <n v="137149"/>
    <n v="15089"/>
    <n v="12828"/>
    <n v="1660"/>
    <n v="129001"/>
    <n v="420741"/>
    <n v="4649"/>
    <n v="1826229"/>
    <n v="25.08"/>
    <n v="36715489"/>
    <n v="33075085"/>
    <n v="17389620"/>
    <n v="67.849999999999994"/>
    <n v="3.86"/>
    <n v="4192"/>
    <n v="4.76"/>
    <n v="98.04"/>
  </r>
  <r>
    <x v="4"/>
    <x v="1"/>
    <x v="0"/>
    <x v="135"/>
    <n v="9892609"/>
    <n v="2342"/>
    <x v="34"/>
    <n v="68695"/>
    <n v="571303"/>
    <n v="4581"/>
    <n v="22696"/>
    <n v="455"/>
    <n v="116861"/>
    <n v="445644"/>
    <n v="6931"/>
    <n v="1507610"/>
    <n v="24.44"/>
    <n v="17841583"/>
    <n v="39524141"/>
    <n v="8507841"/>
    <n v="58.26"/>
    <n v="5.49"/>
    <n v="1622"/>
    <n v="2.95"/>
    <n v="70.400000000000006"/>
  </r>
  <r>
    <x v="0"/>
    <x v="0"/>
    <x v="2"/>
    <x v="136"/>
    <n v="17589239"/>
    <n v="1588"/>
    <x v="96"/>
    <n v="28025"/>
    <n v="989651"/>
    <n v="11907"/>
    <n v="23987"/>
    <n v="1486"/>
    <n v="185311"/>
    <n v="245452"/>
    <n v="3424"/>
    <n v="514611"/>
    <n v="16.010000000000002"/>
    <n v="43382645"/>
    <n v="11333875"/>
    <n v="27170877"/>
    <n v="55.29"/>
    <n v="6.2"/>
    <n v="2055"/>
    <n v="4"/>
    <n v="75.34"/>
  </r>
  <r>
    <x v="4"/>
    <x v="1"/>
    <x v="1"/>
    <x v="137"/>
    <n v="12094207"/>
    <n v="3458"/>
    <x v="87"/>
    <n v="53982"/>
    <n v="977684"/>
    <n v="5609"/>
    <n v="49842"/>
    <n v="1971"/>
    <n v="208392"/>
    <n v="67496"/>
    <n v="1091"/>
    <n v="1199324"/>
    <n v="4.2300000000000004"/>
    <n v="19544100"/>
    <n v="22526837"/>
    <n v="28728342"/>
    <n v="85.94"/>
    <n v="5.88"/>
    <n v="4129"/>
    <n v="2.21"/>
    <n v="6.58"/>
  </r>
  <r>
    <x v="6"/>
    <x v="3"/>
    <x v="4"/>
    <x v="138"/>
    <n v="40324448"/>
    <n v="8802"/>
    <x v="103"/>
    <n v="42081"/>
    <n v="172929"/>
    <n v="44143"/>
    <n v="40941"/>
    <n v="131"/>
    <n v="612061"/>
    <n v="333938"/>
    <n v="9388"/>
    <n v="1094753"/>
    <n v="0.77"/>
    <n v="22003263"/>
    <n v="12259914"/>
    <n v="16605227"/>
    <n v="10.16"/>
    <n v="6.71"/>
    <n v="853"/>
    <n v="2.3199999999999998"/>
    <n v="76.34"/>
  </r>
  <r>
    <x v="1"/>
    <x v="4"/>
    <x v="0"/>
    <x v="139"/>
    <n v="41375015"/>
    <n v="18337"/>
    <x v="109"/>
    <n v="5368"/>
    <n v="757556"/>
    <n v="22936"/>
    <n v="18464"/>
    <n v="929"/>
    <n v="285885"/>
    <n v="399122"/>
    <n v="9852"/>
    <n v="1533088"/>
    <n v="23.9"/>
    <n v="33209685"/>
    <n v="3127813"/>
    <n v="29227827"/>
    <n v="34.700000000000003"/>
    <n v="3.42"/>
    <n v="3384"/>
    <n v="4.41"/>
    <n v="77.47"/>
  </r>
  <r>
    <x v="0"/>
    <x v="3"/>
    <x v="0"/>
    <x v="140"/>
    <n v="8322636"/>
    <n v="224"/>
    <x v="110"/>
    <n v="28094"/>
    <n v="191912"/>
    <n v="42725"/>
    <n v="13368"/>
    <n v="964"/>
    <n v="421130"/>
    <n v="479590"/>
    <n v="7849"/>
    <n v="1160199"/>
    <n v="18"/>
    <n v="10616196"/>
    <n v="5232829"/>
    <n v="8402477"/>
    <n v="53.83"/>
    <n v="1.7"/>
    <n v="3399"/>
    <n v="4.49"/>
    <n v="67.180000000000007"/>
  </r>
  <r>
    <x v="6"/>
    <x v="0"/>
    <x v="2"/>
    <x v="141"/>
    <n v="30351990"/>
    <n v="2280"/>
    <x v="111"/>
    <n v="47040"/>
    <n v="847334"/>
    <n v="45723"/>
    <n v="6678"/>
    <n v="928"/>
    <n v="51318"/>
    <n v="279350"/>
    <n v="4654"/>
    <n v="1574861"/>
    <n v="21.33"/>
    <n v="22107169"/>
    <n v="22293394"/>
    <n v="13042322"/>
    <n v="81.13"/>
    <n v="7.73"/>
    <n v="1119"/>
    <n v="1.27"/>
    <n v="29.19"/>
  </r>
  <r>
    <x v="1"/>
    <x v="4"/>
    <x v="3"/>
    <x v="142"/>
    <n v="37232334"/>
    <n v="4337"/>
    <x v="112"/>
    <n v="67766"/>
    <n v="6577"/>
    <n v="33988"/>
    <n v="45794"/>
    <n v="120"/>
    <n v="152467"/>
    <n v="56831"/>
    <n v="260"/>
    <n v="453546"/>
    <n v="9.11"/>
    <n v="28561446"/>
    <n v="26077798"/>
    <n v="17363671"/>
    <n v="21.64"/>
    <n v="8.58"/>
    <n v="2719"/>
    <n v="1.08"/>
    <n v="48.97"/>
  </r>
  <r>
    <x v="4"/>
    <x v="1"/>
    <x v="4"/>
    <x v="143"/>
    <n v="18032327"/>
    <n v="12162"/>
    <x v="72"/>
    <n v="24991"/>
    <n v="807434"/>
    <n v="29506"/>
    <n v="40779"/>
    <n v="1220"/>
    <n v="354951"/>
    <n v="75110"/>
    <n v="5936"/>
    <n v="962273"/>
    <n v="15.28"/>
    <n v="27559490"/>
    <n v="10050001"/>
    <n v="16440147"/>
    <n v="80.290000000000006"/>
    <n v="2.94"/>
    <n v="4191"/>
    <n v="2.5299999999999998"/>
    <n v="11.04"/>
  </r>
  <r>
    <x v="6"/>
    <x v="4"/>
    <x v="2"/>
    <x v="144"/>
    <n v="19597931"/>
    <n v="7156"/>
    <x v="113"/>
    <n v="2301"/>
    <n v="51711"/>
    <n v="13163"/>
    <n v="9931"/>
    <n v="1829"/>
    <n v="193981"/>
    <n v="475849"/>
    <n v="9377"/>
    <n v="497184"/>
    <n v="22.42"/>
    <n v="34654416"/>
    <n v="5449826"/>
    <n v="1292334"/>
    <n v="39.96"/>
    <n v="4.37"/>
    <n v="2821"/>
    <n v="4.51"/>
    <n v="47.16"/>
  </r>
  <r>
    <x v="0"/>
    <x v="2"/>
    <x v="4"/>
    <x v="145"/>
    <n v="19512021"/>
    <n v="9739"/>
    <x v="114"/>
    <n v="29610"/>
    <n v="564739"/>
    <n v="46057"/>
    <n v="34969"/>
    <n v="1505"/>
    <n v="449040"/>
    <n v="249191"/>
    <n v="4370"/>
    <n v="1035549"/>
    <n v="13.88"/>
    <n v="31433559"/>
    <n v="33044467"/>
    <n v="20097843"/>
    <n v="18.89"/>
    <n v="5.24"/>
    <n v="4685"/>
    <n v="1.68"/>
    <n v="24.38"/>
  </r>
  <r>
    <x v="0"/>
    <x v="4"/>
    <x v="3"/>
    <x v="146"/>
    <n v="49068493"/>
    <n v="12096"/>
    <x v="64"/>
    <n v="35678"/>
    <n v="494027"/>
    <n v="12537"/>
    <n v="32338"/>
    <n v="633"/>
    <n v="329564"/>
    <n v="294843"/>
    <n v="4301"/>
    <n v="645467"/>
    <n v="18.04"/>
    <n v="15096983"/>
    <n v="16028477"/>
    <n v="16397335"/>
    <n v="75.900000000000006"/>
    <n v="5.57"/>
    <n v="4232"/>
    <n v="3.29"/>
    <n v="34.909999999999997"/>
  </r>
  <r>
    <x v="5"/>
    <x v="2"/>
    <x v="3"/>
    <x v="147"/>
    <n v="35953486"/>
    <n v="19605"/>
    <x v="83"/>
    <n v="25466"/>
    <n v="705463"/>
    <n v="22419"/>
    <n v="8869"/>
    <n v="1817"/>
    <n v="447271"/>
    <n v="71426"/>
    <n v="7207"/>
    <n v="248439"/>
    <n v="23.69"/>
    <n v="9583490"/>
    <n v="4908394"/>
    <n v="10737296"/>
    <n v="9.09"/>
    <n v="6.77"/>
    <n v="1458"/>
    <n v="3.57"/>
    <n v="16.260000000000002"/>
  </r>
  <r>
    <x v="2"/>
    <x v="4"/>
    <x v="2"/>
    <x v="148"/>
    <n v="35604616"/>
    <n v="18001"/>
    <x v="115"/>
    <n v="41875"/>
    <n v="422863"/>
    <n v="42578"/>
    <n v="23980"/>
    <n v="896"/>
    <n v="119142"/>
    <n v="248976"/>
    <n v="5819"/>
    <n v="997157"/>
    <n v="6.46"/>
    <n v="23207276"/>
    <n v="20184036"/>
    <n v="29161560"/>
    <n v="51.48"/>
    <n v="0.9"/>
    <n v="3790"/>
    <n v="3.92"/>
    <n v="23.01"/>
  </r>
  <r>
    <x v="3"/>
    <x v="2"/>
    <x v="3"/>
    <x v="149"/>
    <n v="8653113"/>
    <n v="1201"/>
    <x v="3"/>
    <n v="27081"/>
    <n v="560119"/>
    <n v="9455"/>
    <n v="8882"/>
    <n v="771"/>
    <n v="328097"/>
    <n v="337950"/>
    <n v="9058"/>
    <n v="645691"/>
    <n v="1.98"/>
    <n v="48209094"/>
    <n v="2448466"/>
    <n v="27808941"/>
    <n v="6.39"/>
    <n v="7.35"/>
    <n v="314"/>
    <n v="2.86"/>
    <n v="7.66"/>
  </r>
  <r>
    <x v="1"/>
    <x v="0"/>
    <x v="1"/>
    <x v="150"/>
    <n v="37327955"/>
    <n v="7669"/>
    <x v="116"/>
    <n v="25354"/>
    <n v="250402"/>
    <n v="9063"/>
    <n v="19240"/>
    <n v="1062"/>
    <n v="809621"/>
    <n v="9104"/>
    <n v="92"/>
    <n v="1978311"/>
    <n v="15.95"/>
    <n v="35949144"/>
    <n v="16225943"/>
    <n v="21392959"/>
    <n v="35.64"/>
    <n v="1.0900000000000001"/>
    <n v="3898"/>
    <n v="2.0699999999999998"/>
    <n v="91.99"/>
  </r>
  <r>
    <x v="5"/>
    <x v="3"/>
    <x v="0"/>
    <x v="151"/>
    <n v="25754492"/>
    <n v="6083"/>
    <x v="80"/>
    <n v="19300"/>
    <n v="756664"/>
    <n v="834"/>
    <n v="26718"/>
    <n v="565"/>
    <n v="195928"/>
    <n v="115118"/>
    <n v="5161"/>
    <n v="96287"/>
    <n v="1.86"/>
    <n v="34675447"/>
    <n v="17246113"/>
    <n v="8811638"/>
    <n v="60.11"/>
    <n v="4.95"/>
    <n v="3143"/>
    <n v="4.84"/>
    <n v="53.04"/>
  </r>
  <r>
    <x v="3"/>
    <x v="1"/>
    <x v="2"/>
    <x v="152"/>
    <n v="46062388"/>
    <n v="8610"/>
    <x v="117"/>
    <n v="65384"/>
    <n v="883930"/>
    <n v="32214"/>
    <n v="18857"/>
    <n v="511"/>
    <n v="748871"/>
    <n v="444680"/>
    <n v="7632"/>
    <n v="1169150"/>
    <n v="23"/>
    <n v="8931138"/>
    <n v="28537877"/>
    <n v="10611422"/>
    <n v="55.61"/>
    <n v="8.36"/>
    <n v="4848"/>
    <n v="3.1"/>
    <n v="39.67"/>
  </r>
  <r>
    <x v="3"/>
    <x v="4"/>
    <x v="4"/>
    <x v="153"/>
    <n v="27590738"/>
    <n v="4996"/>
    <x v="118"/>
    <n v="61892"/>
    <n v="916381"/>
    <n v="27398"/>
    <n v="27115"/>
    <n v="1497"/>
    <n v="401968"/>
    <n v="25892"/>
    <n v="9543"/>
    <n v="781751"/>
    <n v="21.58"/>
    <n v="11191374"/>
    <n v="29661763"/>
    <n v="27739803"/>
    <n v="40.47"/>
    <n v="4.79"/>
    <n v="1523"/>
    <n v="3.67"/>
    <n v="53.5"/>
  </r>
  <r>
    <x v="6"/>
    <x v="3"/>
    <x v="1"/>
    <x v="154"/>
    <n v="33769285"/>
    <n v="1957"/>
    <x v="39"/>
    <n v="36525"/>
    <n v="245942"/>
    <n v="34492"/>
    <n v="4932"/>
    <n v="1184"/>
    <n v="817776"/>
    <n v="489068"/>
    <n v="6208"/>
    <n v="1171085"/>
    <n v="26.45"/>
    <n v="10302940"/>
    <n v="22593720"/>
    <n v="10922161"/>
    <n v="42.9"/>
    <n v="1.92"/>
    <n v="4331"/>
    <n v="1.79"/>
    <n v="62.83"/>
  </r>
  <r>
    <x v="3"/>
    <x v="1"/>
    <x v="2"/>
    <x v="155"/>
    <n v="32936728"/>
    <n v="3540"/>
    <x v="119"/>
    <n v="27532"/>
    <n v="96119"/>
    <n v="2413"/>
    <n v="4402"/>
    <n v="288"/>
    <n v="96187"/>
    <n v="458228"/>
    <n v="8556"/>
    <n v="1397167"/>
    <n v="19.190000000000001"/>
    <n v="10323740"/>
    <n v="36717065"/>
    <n v="15281146"/>
    <n v="22.68"/>
    <n v="9.86"/>
    <n v="375"/>
    <n v="3.38"/>
    <n v="92.19"/>
  </r>
  <r>
    <x v="2"/>
    <x v="1"/>
    <x v="3"/>
    <x v="156"/>
    <n v="13636003"/>
    <n v="18969"/>
    <x v="70"/>
    <n v="7464"/>
    <n v="854262"/>
    <n v="9505"/>
    <n v="13551"/>
    <n v="199"/>
    <n v="499258"/>
    <n v="54745"/>
    <n v="4916"/>
    <n v="1945530"/>
    <n v="2.02"/>
    <n v="7172937"/>
    <n v="17950983"/>
    <n v="7305023"/>
    <n v="45.59"/>
    <n v="8.9499999999999993"/>
    <n v="1256"/>
    <n v="1.36"/>
    <n v="17.87"/>
  </r>
  <r>
    <x v="0"/>
    <x v="2"/>
    <x v="3"/>
    <x v="157"/>
    <n v="20047958"/>
    <n v="4223"/>
    <x v="120"/>
    <n v="17562"/>
    <n v="343776"/>
    <n v="37266"/>
    <n v="19561"/>
    <n v="1811"/>
    <n v="810297"/>
    <n v="7332"/>
    <n v="3718"/>
    <n v="1498757"/>
    <n v="7.59"/>
    <n v="40140326"/>
    <n v="16106720"/>
    <n v="19998619"/>
    <n v="95.33"/>
    <n v="7.83"/>
    <n v="4542"/>
    <n v="1.3"/>
    <n v="29.56"/>
  </r>
  <r>
    <x v="5"/>
    <x v="0"/>
    <x v="3"/>
    <x v="158"/>
    <n v="29248123"/>
    <n v="11115"/>
    <x v="102"/>
    <n v="56514"/>
    <n v="824265"/>
    <n v="2105"/>
    <n v="19391"/>
    <n v="527"/>
    <n v="661886"/>
    <n v="471526"/>
    <n v="6125"/>
    <n v="1392864"/>
    <n v="24.24"/>
    <n v="29026696"/>
    <n v="20080250"/>
    <n v="29140309"/>
    <n v="85.05"/>
    <n v="4.41"/>
    <n v="1554"/>
    <n v="3.6"/>
    <n v="97.58"/>
  </r>
  <r>
    <x v="3"/>
    <x v="0"/>
    <x v="3"/>
    <x v="159"/>
    <n v="45488955"/>
    <n v="17727"/>
    <x v="98"/>
    <n v="33634"/>
    <n v="768754"/>
    <n v="2568"/>
    <n v="47793"/>
    <n v="916"/>
    <n v="885235"/>
    <n v="54866"/>
    <n v="1924"/>
    <n v="1822369"/>
    <n v="5.01"/>
    <n v="38145636"/>
    <n v="32715813"/>
    <n v="14437434"/>
    <n v="14.52"/>
    <n v="2.25"/>
    <n v="3584"/>
    <n v="2.65"/>
    <n v="37.119999999999997"/>
  </r>
  <r>
    <x v="6"/>
    <x v="3"/>
    <x v="4"/>
    <x v="160"/>
    <n v="41350837"/>
    <n v="4819"/>
    <x v="121"/>
    <n v="1060"/>
    <n v="749224"/>
    <n v="42098"/>
    <n v="36005"/>
    <n v="1708"/>
    <n v="291167"/>
    <n v="120701"/>
    <n v="3095"/>
    <n v="1242165"/>
    <n v="20.95"/>
    <n v="38165747"/>
    <n v="16843754"/>
    <n v="19454852"/>
    <n v="2.98"/>
    <n v="9.44"/>
    <n v="1490"/>
    <n v="3.45"/>
    <n v="2.2599999999999998"/>
  </r>
  <r>
    <x v="2"/>
    <x v="0"/>
    <x v="1"/>
    <x v="161"/>
    <n v="24123755"/>
    <n v="4846"/>
    <x v="122"/>
    <n v="10269"/>
    <n v="811830"/>
    <n v="49361"/>
    <n v="22958"/>
    <n v="1526"/>
    <n v="515013"/>
    <n v="81688"/>
    <n v="6683"/>
    <n v="1928701"/>
    <n v="23.41"/>
    <n v="6808807"/>
    <n v="18705563"/>
    <n v="8278453"/>
    <n v="93.35"/>
    <n v="5.56"/>
    <n v="1005"/>
    <n v="1.42"/>
    <n v="14.76"/>
  </r>
  <r>
    <x v="4"/>
    <x v="4"/>
    <x v="0"/>
    <x v="162"/>
    <n v="14639308"/>
    <n v="13096"/>
    <x v="123"/>
    <n v="64143"/>
    <n v="586842"/>
    <n v="37679"/>
    <n v="26738"/>
    <n v="1271"/>
    <n v="142054"/>
    <n v="179714"/>
    <n v="5181"/>
    <n v="357459"/>
    <n v="9.9"/>
    <n v="32172941"/>
    <n v="32889132"/>
    <n v="10409387"/>
    <n v="52.67"/>
    <n v="8.6"/>
    <n v="604"/>
    <n v="3.03"/>
    <n v="2.63"/>
  </r>
  <r>
    <x v="0"/>
    <x v="0"/>
    <x v="4"/>
    <x v="163"/>
    <n v="9159522"/>
    <n v="14261"/>
    <x v="124"/>
    <n v="24065"/>
    <n v="51755"/>
    <n v="49385"/>
    <n v="2034"/>
    <n v="1406"/>
    <n v="112605"/>
    <n v="6013"/>
    <n v="2538"/>
    <n v="489720"/>
    <n v="9.67"/>
    <n v="29822531"/>
    <n v="37944128"/>
    <n v="24998313"/>
    <n v="53.78"/>
    <n v="3.75"/>
    <n v="3304"/>
    <n v="2.2799999999999998"/>
    <n v="98.99"/>
  </r>
  <r>
    <x v="0"/>
    <x v="3"/>
    <x v="4"/>
    <x v="164"/>
    <n v="26028279"/>
    <n v="19406"/>
    <x v="101"/>
    <n v="3895"/>
    <n v="936210"/>
    <n v="33560"/>
    <n v="16723"/>
    <n v="1241"/>
    <n v="835820"/>
    <n v="112506"/>
    <n v="9488"/>
    <n v="1863395"/>
    <n v="16.73"/>
    <n v="21113023"/>
    <n v="26343393"/>
    <n v="29017031"/>
    <n v="78.069999999999993"/>
    <n v="3.69"/>
    <n v="4189"/>
    <n v="3.03"/>
    <n v="27.89"/>
  </r>
  <r>
    <x v="5"/>
    <x v="0"/>
    <x v="0"/>
    <x v="165"/>
    <n v="30139841"/>
    <n v="5047"/>
    <x v="125"/>
    <n v="13352"/>
    <n v="154412"/>
    <n v="14195"/>
    <n v="2496"/>
    <n v="1110"/>
    <n v="638672"/>
    <n v="113793"/>
    <n v="2276"/>
    <n v="1053666"/>
    <n v="25.84"/>
    <n v="7808915"/>
    <n v="36449346"/>
    <n v="17384828"/>
    <n v="31.47"/>
    <n v="9.86"/>
    <n v="4627"/>
    <n v="1.53"/>
    <n v="92.35"/>
  </r>
  <r>
    <x v="0"/>
    <x v="4"/>
    <x v="0"/>
    <x v="166"/>
    <n v="18311802"/>
    <n v="17426"/>
    <x v="126"/>
    <n v="50737"/>
    <n v="852426"/>
    <n v="46669"/>
    <n v="1165"/>
    <n v="1105"/>
    <n v="631756"/>
    <n v="93549"/>
    <n v="8194"/>
    <n v="1956854"/>
    <n v="6.72"/>
    <n v="44130573"/>
    <n v="30631816"/>
    <n v="13001189"/>
    <n v="48.19"/>
    <n v="5.46"/>
    <n v="2086"/>
    <n v="3.61"/>
    <n v="99.59"/>
  </r>
  <r>
    <x v="3"/>
    <x v="2"/>
    <x v="3"/>
    <x v="167"/>
    <n v="40094934"/>
    <n v="8162"/>
    <x v="127"/>
    <n v="33016"/>
    <n v="589172"/>
    <n v="15762"/>
    <n v="10092"/>
    <n v="1085"/>
    <n v="837042"/>
    <n v="10667"/>
    <n v="9945"/>
    <n v="1467737"/>
    <n v="28.24"/>
    <n v="4546475"/>
    <n v="32717444"/>
    <n v="5908187"/>
    <n v="96.87"/>
    <n v="1.84"/>
    <n v="1336"/>
    <n v="4.05"/>
    <n v="59.98"/>
  </r>
  <r>
    <x v="6"/>
    <x v="3"/>
    <x v="4"/>
    <x v="168"/>
    <n v="27412512"/>
    <n v="5337"/>
    <x v="128"/>
    <n v="62304"/>
    <n v="871793"/>
    <n v="41294"/>
    <n v="37255"/>
    <n v="798"/>
    <n v="746504"/>
    <n v="38479"/>
    <n v="910"/>
    <n v="1876247"/>
    <n v="17.97"/>
    <n v="42799838"/>
    <n v="39656297"/>
    <n v="9911480"/>
    <n v="67.209999999999994"/>
    <n v="2.59"/>
    <n v="1247"/>
    <n v="1.37"/>
    <n v="3.32"/>
  </r>
  <r>
    <x v="0"/>
    <x v="2"/>
    <x v="2"/>
    <x v="169"/>
    <n v="14819175"/>
    <n v="10628"/>
    <x v="7"/>
    <n v="12962"/>
    <n v="542770"/>
    <n v="15898"/>
    <n v="18579"/>
    <n v="1523"/>
    <n v="394209"/>
    <n v="206140"/>
    <n v="306"/>
    <n v="4743"/>
    <n v="29.76"/>
    <n v="8482784"/>
    <n v="33202569"/>
    <n v="6639150"/>
    <n v="15.37"/>
    <n v="5.08"/>
    <n v="4711"/>
    <n v="1.57"/>
    <n v="8.16"/>
  </r>
  <r>
    <x v="0"/>
    <x v="2"/>
    <x v="0"/>
    <x v="170"/>
    <n v="39601526"/>
    <n v="18674"/>
    <x v="129"/>
    <n v="34302"/>
    <n v="55225"/>
    <n v="21577"/>
    <n v="7096"/>
    <n v="1065"/>
    <n v="449910"/>
    <n v="262563"/>
    <n v="6575"/>
    <n v="1080500"/>
    <n v="2.69"/>
    <n v="14275443"/>
    <n v="38334009"/>
    <n v="866763"/>
    <n v="13.32"/>
    <n v="0.9"/>
    <n v="2317"/>
    <n v="3.34"/>
    <n v="48.16"/>
  </r>
  <r>
    <x v="4"/>
    <x v="2"/>
    <x v="0"/>
    <x v="171"/>
    <n v="3600581"/>
    <n v="17910"/>
    <x v="17"/>
    <n v="5011"/>
    <n v="190921"/>
    <n v="1214"/>
    <n v="2327"/>
    <n v="11"/>
    <n v="606789"/>
    <n v="90105"/>
    <n v="4231"/>
    <n v="1190844"/>
    <n v="3.8"/>
    <n v="42278054"/>
    <n v="14172820"/>
    <n v="11698040"/>
    <n v="20.43"/>
    <n v="4.8899999999999997"/>
    <n v="3679"/>
    <n v="3.51"/>
    <n v="40.619999999999997"/>
  </r>
  <r>
    <x v="4"/>
    <x v="1"/>
    <x v="1"/>
    <x v="172"/>
    <n v="36716069"/>
    <n v="6476"/>
    <x v="130"/>
    <n v="20782"/>
    <n v="600142"/>
    <n v="20803"/>
    <n v="36399"/>
    <n v="832"/>
    <n v="40267"/>
    <n v="373234"/>
    <n v="6028"/>
    <n v="1966168"/>
    <n v="24.8"/>
    <n v="13154587"/>
    <n v="25597332"/>
    <n v="8539032"/>
    <n v="76.67"/>
    <n v="4.4800000000000004"/>
    <n v="3515"/>
    <n v="3.55"/>
    <n v="60.62"/>
  </r>
  <r>
    <x v="1"/>
    <x v="1"/>
    <x v="2"/>
    <x v="173"/>
    <n v="4172277"/>
    <n v="11649"/>
    <x v="102"/>
    <n v="68691"/>
    <n v="566544"/>
    <n v="48114"/>
    <n v="4501"/>
    <n v="1769"/>
    <n v="554338"/>
    <n v="223198"/>
    <n v="6658"/>
    <n v="1927823"/>
    <n v="25.94"/>
    <n v="29019839"/>
    <n v="21618112"/>
    <n v="24403045"/>
    <n v="29.54"/>
    <n v="7.9"/>
    <n v="821"/>
    <n v="3.45"/>
    <n v="43.88"/>
  </r>
  <r>
    <x v="2"/>
    <x v="2"/>
    <x v="2"/>
    <x v="174"/>
    <n v="19361720"/>
    <n v="439"/>
    <x v="131"/>
    <n v="40725"/>
    <n v="241617"/>
    <n v="23698"/>
    <n v="15926"/>
    <n v="840"/>
    <n v="524761"/>
    <n v="479436"/>
    <n v="6336"/>
    <n v="1679176"/>
    <n v="13.36"/>
    <n v="9184344"/>
    <n v="136322"/>
    <n v="14878251"/>
    <n v="2.14"/>
    <n v="3.87"/>
    <n v="2506"/>
    <n v="2.02"/>
    <n v="93.41"/>
  </r>
  <r>
    <x v="3"/>
    <x v="3"/>
    <x v="0"/>
    <x v="175"/>
    <n v="13045745"/>
    <n v="1049"/>
    <x v="117"/>
    <n v="10196"/>
    <n v="109721"/>
    <n v="32980"/>
    <n v="15258"/>
    <n v="642"/>
    <n v="145405"/>
    <n v="4891"/>
    <n v="9630"/>
    <n v="1380580"/>
    <n v="21.42"/>
    <n v="7846431"/>
    <n v="33812548"/>
    <n v="4762347"/>
    <n v="94.42"/>
    <n v="9.83"/>
    <n v="520"/>
    <n v="2.0299999999999998"/>
    <n v="53.47"/>
  </r>
  <r>
    <x v="0"/>
    <x v="4"/>
    <x v="3"/>
    <x v="176"/>
    <n v="11143344"/>
    <n v="12862"/>
    <x v="132"/>
    <n v="44459"/>
    <n v="606398"/>
    <n v="1658"/>
    <n v="2521"/>
    <n v="1138"/>
    <n v="134542"/>
    <n v="490588"/>
    <n v="872"/>
    <n v="959904"/>
    <n v="26.03"/>
    <n v="35406472"/>
    <n v="18907455"/>
    <n v="22910824"/>
    <n v="16.97"/>
    <n v="2.2200000000000002"/>
    <n v="1420"/>
    <n v="1.35"/>
    <n v="69.37"/>
  </r>
  <r>
    <x v="0"/>
    <x v="4"/>
    <x v="1"/>
    <x v="177"/>
    <n v="37075804"/>
    <n v="15649"/>
    <x v="97"/>
    <n v="33769"/>
    <n v="114606"/>
    <n v="12270"/>
    <n v="24236"/>
    <n v="1241"/>
    <n v="623103"/>
    <n v="131501"/>
    <n v="1141"/>
    <n v="741537"/>
    <n v="1.29"/>
    <n v="899321"/>
    <n v="18910736"/>
    <n v="5865522"/>
    <n v="0.96"/>
    <n v="6.11"/>
    <n v="3182"/>
    <n v="0.87"/>
    <n v="89.65"/>
  </r>
  <r>
    <x v="6"/>
    <x v="0"/>
    <x v="2"/>
    <x v="178"/>
    <n v="16577579"/>
    <n v="1905"/>
    <x v="85"/>
    <n v="25700"/>
    <n v="539938"/>
    <n v="46797"/>
    <n v="25035"/>
    <n v="1672"/>
    <n v="95994"/>
    <n v="205559"/>
    <n v="665"/>
    <n v="1797954"/>
    <n v="17.22"/>
    <n v="40953950"/>
    <n v="10082120"/>
    <n v="19208500"/>
    <n v="23.71"/>
    <n v="1.35"/>
    <n v="721"/>
    <n v="3.49"/>
    <n v="14.69"/>
  </r>
  <r>
    <x v="1"/>
    <x v="3"/>
    <x v="0"/>
    <x v="179"/>
    <n v="44831269"/>
    <n v="8175"/>
    <x v="37"/>
    <n v="6269"/>
    <n v="178190"/>
    <n v="37792"/>
    <n v="42324"/>
    <n v="105"/>
    <n v="652212"/>
    <n v="61132"/>
    <n v="8400"/>
    <n v="230602"/>
    <n v="25.6"/>
    <n v="3735568"/>
    <n v="7148703"/>
    <n v="824353"/>
    <n v="23.5"/>
    <n v="7.47"/>
    <n v="1224"/>
    <n v="0.56000000000000005"/>
    <n v="22.97"/>
  </r>
  <r>
    <x v="2"/>
    <x v="1"/>
    <x v="2"/>
    <x v="180"/>
    <n v="5354042"/>
    <n v="13844"/>
    <x v="133"/>
    <n v="44880"/>
    <n v="29930"/>
    <n v="45807"/>
    <n v="48390"/>
    <n v="690"/>
    <n v="83181"/>
    <n v="175250"/>
    <n v="951"/>
    <n v="1392119"/>
    <n v="11.94"/>
    <n v="49225844"/>
    <n v="11625029"/>
    <n v="21423739"/>
    <n v="42.2"/>
    <n v="9.9499999999999993"/>
    <n v="160"/>
    <n v="4.7"/>
    <n v="10.73"/>
  </r>
  <r>
    <x v="1"/>
    <x v="2"/>
    <x v="1"/>
    <x v="181"/>
    <n v="19748594"/>
    <n v="2813"/>
    <x v="87"/>
    <n v="9320"/>
    <n v="742067"/>
    <n v="22301"/>
    <n v="7858"/>
    <n v="527"/>
    <n v="888421"/>
    <n v="350906"/>
    <n v="9249"/>
    <n v="836227"/>
    <n v="9.07"/>
    <n v="36074454"/>
    <n v="32960112"/>
    <n v="20397036"/>
    <n v="92.04"/>
    <n v="8.2799999999999994"/>
    <n v="3609"/>
    <n v="4.1500000000000004"/>
    <n v="13.96"/>
  </r>
  <r>
    <x v="5"/>
    <x v="0"/>
    <x v="1"/>
    <x v="182"/>
    <n v="48557723"/>
    <n v="5036"/>
    <x v="34"/>
    <n v="50589"/>
    <n v="261102"/>
    <n v="5141"/>
    <n v="14284"/>
    <n v="1495"/>
    <n v="705037"/>
    <n v="21400"/>
    <n v="4722"/>
    <n v="838985"/>
    <n v="23.87"/>
    <n v="18925065"/>
    <n v="6276839"/>
    <n v="7124556"/>
    <n v="87.92"/>
    <n v="5.78"/>
    <n v="1076"/>
    <n v="4.3"/>
    <n v="51.26"/>
  </r>
  <r>
    <x v="2"/>
    <x v="4"/>
    <x v="4"/>
    <x v="183"/>
    <n v="4330121"/>
    <n v="1531"/>
    <x v="134"/>
    <n v="36897"/>
    <n v="363544"/>
    <n v="38756"/>
    <n v="30968"/>
    <n v="1777"/>
    <n v="252911"/>
    <n v="337944"/>
    <n v="4008"/>
    <n v="1558504"/>
    <n v="10.07"/>
    <n v="39709775"/>
    <n v="13166100"/>
    <n v="7657351"/>
    <n v="45.69"/>
    <n v="5.1100000000000003"/>
    <n v="3604"/>
    <n v="4.54"/>
    <n v="32.119999999999997"/>
  </r>
  <r>
    <x v="0"/>
    <x v="1"/>
    <x v="0"/>
    <x v="184"/>
    <n v="12451552"/>
    <n v="3781"/>
    <x v="135"/>
    <n v="59565"/>
    <n v="274945"/>
    <n v="13777"/>
    <n v="35243"/>
    <n v="845"/>
    <n v="717361"/>
    <n v="444261"/>
    <n v="6655"/>
    <n v="1153552"/>
    <n v="0.1"/>
    <n v="20712069"/>
    <n v="6044806"/>
    <n v="7655628"/>
    <n v="41.09"/>
    <n v="8.43"/>
    <n v="3283"/>
    <n v="2.1"/>
    <n v="42.32"/>
  </r>
  <r>
    <x v="0"/>
    <x v="1"/>
    <x v="1"/>
    <x v="185"/>
    <n v="14338428"/>
    <n v="16885"/>
    <x v="61"/>
    <n v="31930"/>
    <n v="576648"/>
    <n v="38346"/>
    <n v="16314"/>
    <n v="892"/>
    <n v="553688"/>
    <n v="55709"/>
    <n v="6190"/>
    <n v="156183"/>
    <n v="28.79"/>
    <n v="47267018"/>
    <n v="6513638"/>
    <n v="29559523"/>
    <n v="55.5"/>
    <n v="9.39"/>
    <n v="4489"/>
    <n v="4.25"/>
    <n v="98.25"/>
  </r>
  <r>
    <x v="2"/>
    <x v="2"/>
    <x v="4"/>
    <x v="186"/>
    <n v="18630540"/>
    <n v="19527"/>
    <x v="99"/>
    <n v="58233"/>
    <n v="875340"/>
    <n v="29441"/>
    <n v="48447"/>
    <n v="386"/>
    <n v="14626"/>
    <n v="191734"/>
    <n v="771"/>
    <n v="1687430"/>
    <n v="17.760000000000002"/>
    <n v="7870579"/>
    <n v="27419381"/>
    <n v="308293"/>
    <n v="24.35"/>
    <n v="9.9"/>
    <n v="1522"/>
    <n v="0.87"/>
    <n v="15.67"/>
  </r>
  <r>
    <x v="0"/>
    <x v="4"/>
    <x v="4"/>
    <x v="187"/>
    <n v="37426887"/>
    <n v="17316"/>
    <x v="136"/>
    <n v="15380"/>
    <n v="148631"/>
    <n v="47819"/>
    <n v="11304"/>
    <n v="1249"/>
    <n v="635986"/>
    <n v="90145"/>
    <n v="4030"/>
    <n v="1307019"/>
    <n v="24.59"/>
    <n v="44158120"/>
    <n v="10256666"/>
    <n v="24362213"/>
    <n v="5.22"/>
    <n v="4.2699999999999996"/>
    <n v="2429"/>
    <n v="0.21"/>
    <n v="54.08"/>
  </r>
  <r>
    <x v="3"/>
    <x v="3"/>
    <x v="2"/>
    <x v="188"/>
    <n v="4768173"/>
    <n v="10808"/>
    <x v="137"/>
    <n v="56830"/>
    <n v="295478"/>
    <n v="28469"/>
    <n v="26435"/>
    <n v="480"/>
    <n v="726550"/>
    <n v="324145"/>
    <n v="7859"/>
    <n v="1693832"/>
    <n v="24.76"/>
    <n v="48108366"/>
    <n v="16341185"/>
    <n v="7093727"/>
    <n v="93.92"/>
    <n v="9.91"/>
    <n v="4922"/>
    <n v="3.95"/>
    <n v="9.89"/>
  </r>
  <r>
    <x v="2"/>
    <x v="1"/>
    <x v="2"/>
    <x v="189"/>
    <n v="6534722"/>
    <n v="19711"/>
    <x v="47"/>
    <n v="6529"/>
    <n v="237545"/>
    <n v="3845"/>
    <n v="3185"/>
    <n v="1777"/>
    <n v="743604"/>
    <n v="267947"/>
    <n v="521"/>
    <n v="62600"/>
    <n v="1.99"/>
    <n v="38844731"/>
    <n v="6034478"/>
    <n v="27783700"/>
    <n v="18.670000000000002"/>
    <n v="1.98"/>
    <n v="3021"/>
    <n v="0.47"/>
    <n v="31.85"/>
  </r>
  <r>
    <x v="1"/>
    <x v="2"/>
    <x v="4"/>
    <x v="190"/>
    <n v="43312847"/>
    <n v="16361"/>
    <x v="107"/>
    <n v="50178"/>
    <n v="14288"/>
    <n v="44650"/>
    <n v="40627"/>
    <n v="407"/>
    <n v="341947"/>
    <n v="223817"/>
    <n v="3355"/>
    <n v="575310"/>
    <n v="5.13"/>
    <n v="18144041"/>
    <n v="4594641"/>
    <n v="14031723"/>
    <n v="19.84"/>
    <n v="2.91"/>
    <n v="2431"/>
    <n v="4.9400000000000004"/>
    <n v="52.75"/>
  </r>
  <r>
    <x v="2"/>
    <x v="3"/>
    <x v="2"/>
    <x v="191"/>
    <n v="24287347"/>
    <n v="8616"/>
    <x v="138"/>
    <n v="7937"/>
    <n v="678758"/>
    <n v="23290"/>
    <n v="45251"/>
    <n v="1480"/>
    <n v="217151"/>
    <n v="325359"/>
    <n v="1400"/>
    <n v="1708135"/>
    <n v="9.33"/>
    <n v="46334323"/>
    <n v="24082953"/>
    <n v="26793200"/>
    <n v="47.25"/>
    <n v="1.35"/>
    <n v="3340"/>
    <n v="3.41"/>
    <n v="94.66"/>
  </r>
  <r>
    <x v="0"/>
    <x v="4"/>
    <x v="1"/>
    <x v="192"/>
    <n v="17111127"/>
    <n v="11939"/>
    <x v="94"/>
    <n v="40886"/>
    <n v="208302"/>
    <n v="47015"/>
    <n v="27785"/>
    <n v="1676"/>
    <n v="329705"/>
    <n v="219262"/>
    <n v="3723"/>
    <n v="838329"/>
    <n v="9.6199999999999992"/>
    <n v="3828471"/>
    <n v="7815157"/>
    <n v="28766458"/>
    <n v="49.16"/>
    <n v="3.08"/>
    <n v="4803"/>
    <n v="3.79"/>
    <n v="39.119999999999997"/>
  </r>
  <r>
    <x v="3"/>
    <x v="1"/>
    <x v="3"/>
    <x v="193"/>
    <n v="4570028"/>
    <n v="11304"/>
    <x v="39"/>
    <n v="50699"/>
    <n v="799623"/>
    <n v="30699"/>
    <n v="9435"/>
    <n v="897"/>
    <n v="492780"/>
    <n v="27776"/>
    <n v="6579"/>
    <n v="825470"/>
    <n v="19.760000000000002"/>
    <n v="2120556"/>
    <n v="13669152"/>
    <n v="14504070"/>
    <n v="1.84"/>
    <n v="7.8"/>
    <n v="1883"/>
    <n v="1.3"/>
    <n v="6.49"/>
  </r>
  <r>
    <x v="3"/>
    <x v="3"/>
    <x v="1"/>
    <x v="194"/>
    <n v="25228252"/>
    <n v="11492"/>
    <x v="112"/>
    <n v="26279"/>
    <n v="281195"/>
    <n v="44252"/>
    <n v="26023"/>
    <n v="710"/>
    <n v="17478"/>
    <n v="455026"/>
    <n v="3247"/>
    <n v="124323"/>
    <n v="18.690000000000001"/>
    <n v="15539152"/>
    <n v="38665094"/>
    <n v="15330393"/>
    <n v="14.8"/>
    <n v="8.6"/>
    <n v="503"/>
    <n v="3.4"/>
    <n v="38.82"/>
  </r>
  <r>
    <x v="5"/>
    <x v="3"/>
    <x v="4"/>
    <x v="195"/>
    <n v="24147205"/>
    <n v="13571"/>
    <x v="68"/>
    <n v="39106"/>
    <n v="62715"/>
    <n v="33146"/>
    <n v="27938"/>
    <n v="1647"/>
    <n v="581132"/>
    <n v="453393"/>
    <n v="1858"/>
    <n v="1235686"/>
    <n v="14.84"/>
    <n v="31594054"/>
    <n v="1556610"/>
    <n v="11822670"/>
    <n v="37.82"/>
    <n v="7.9"/>
    <n v="790"/>
    <n v="0.31"/>
    <n v="14.57"/>
  </r>
  <r>
    <x v="1"/>
    <x v="3"/>
    <x v="4"/>
    <x v="196"/>
    <n v="45107536"/>
    <n v="4609"/>
    <x v="53"/>
    <n v="41544"/>
    <n v="11737"/>
    <n v="3293"/>
    <n v="45000"/>
    <n v="638"/>
    <n v="309292"/>
    <n v="383576"/>
    <n v="4781"/>
    <n v="1694142"/>
    <n v="6.34"/>
    <n v="9904283"/>
    <n v="26712877"/>
    <n v="19373495"/>
    <n v="68.37"/>
    <n v="6.5"/>
    <n v="2430"/>
    <n v="4.21"/>
    <n v="23"/>
  </r>
  <r>
    <x v="4"/>
    <x v="1"/>
    <x v="1"/>
    <x v="197"/>
    <n v="33416781"/>
    <n v="16249"/>
    <x v="139"/>
    <n v="9997"/>
    <n v="590428"/>
    <n v="44398"/>
    <n v="41222"/>
    <n v="1044"/>
    <n v="263699"/>
    <n v="220512"/>
    <n v="4064"/>
    <n v="898486"/>
    <n v="11.46"/>
    <n v="8489573"/>
    <n v="311356"/>
    <n v="10796329"/>
    <n v="22.84"/>
    <n v="5.38"/>
    <n v="2407"/>
    <n v="0.93"/>
    <n v="61.81"/>
  </r>
  <r>
    <x v="4"/>
    <x v="1"/>
    <x v="2"/>
    <x v="198"/>
    <n v="11760784"/>
    <n v="7341"/>
    <x v="5"/>
    <n v="41860"/>
    <n v="681611"/>
    <n v="46428"/>
    <n v="8220"/>
    <n v="1682"/>
    <n v="76082"/>
    <n v="176612"/>
    <n v="2398"/>
    <n v="1319617"/>
    <n v="16.309999999999999"/>
    <n v="3316219"/>
    <n v="11487395"/>
    <n v="27897139"/>
    <n v="42.3"/>
    <n v="7.23"/>
    <n v="1493"/>
    <n v="3.52"/>
    <n v="6.74"/>
  </r>
  <r>
    <x v="2"/>
    <x v="0"/>
    <x v="2"/>
    <x v="199"/>
    <n v="1869277"/>
    <n v="8210"/>
    <x v="78"/>
    <n v="4225"/>
    <n v="183047"/>
    <n v="16608"/>
    <n v="2769"/>
    <n v="1624"/>
    <n v="232959"/>
    <n v="168095"/>
    <n v="142"/>
    <n v="589829"/>
    <n v="14.04"/>
    <n v="24863184"/>
    <n v="19998220"/>
    <n v="10702949"/>
    <n v="55.73"/>
    <n v="4.21"/>
    <n v="3730"/>
    <n v="1.2"/>
    <n v="46.47"/>
  </r>
  <r>
    <x v="5"/>
    <x v="4"/>
    <x v="4"/>
    <x v="200"/>
    <n v="22799783"/>
    <n v="162"/>
    <x v="56"/>
    <n v="60470"/>
    <n v="268291"/>
    <n v="737"/>
    <n v="16101"/>
    <n v="814"/>
    <n v="606002"/>
    <n v="292046"/>
    <n v="5062"/>
    <n v="1156544"/>
    <n v="3.82"/>
    <n v="41521934"/>
    <n v="8139023"/>
    <n v="25814376"/>
    <n v="88.86"/>
    <n v="8.49"/>
    <n v="1798"/>
    <n v="0.44"/>
    <n v="60.95"/>
  </r>
  <r>
    <x v="6"/>
    <x v="2"/>
    <x v="0"/>
    <x v="201"/>
    <n v="23999306"/>
    <n v="19631"/>
    <x v="140"/>
    <n v="64656"/>
    <n v="575796"/>
    <n v="16619"/>
    <n v="12"/>
    <n v="917"/>
    <n v="438592"/>
    <n v="352575"/>
    <n v="3469"/>
    <n v="1588756"/>
    <n v="19.489999999999998"/>
    <n v="49656611"/>
    <n v="6356687"/>
    <n v="15052399"/>
    <n v="32.61"/>
    <n v="6.93"/>
    <n v="2451"/>
    <n v="2.46"/>
    <n v="42.19"/>
  </r>
  <r>
    <x v="2"/>
    <x v="3"/>
    <x v="2"/>
    <x v="202"/>
    <n v="1249971"/>
    <n v="15974"/>
    <x v="39"/>
    <n v="52880"/>
    <n v="315368"/>
    <n v="12470"/>
    <n v="40968"/>
    <n v="202"/>
    <n v="512079"/>
    <n v="456220"/>
    <n v="3695"/>
    <n v="926775"/>
    <n v="2.19"/>
    <n v="46245613"/>
    <n v="5875445"/>
    <n v="18005607"/>
    <n v="13.36"/>
    <n v="7.13"/>
    <n v="4969"/>
    <n v="0.93"/>
    <n v="1.91"/>
  </r>
  <r>
    <x v="5"/>
    <x v="0"/>
    <x v="1"/>
    <x v="203"/>
    <n v="16211072"/>
    <n v="16573"/>
    <x v="141"/>
    <n v="62078"/>
    <n v="282787"/>
    <n v="49863"/>
    <n v="30170"/>
    <n v="416"/>
    <n v="748020"/>
    <n v="453478"/>
    <n v="717"/>
    <n v="1074391"/>
    <n v="11.35"/>
    <n v="36511860"/>
    <n v="13801604"/>
    <n v="12563983"/>
    <n v="48.93"/>
    <n v="5.59"/>
    <n v="3221"/>
    <n v="3.67"/>
    <n v="98.55"/>
  </r>
  <r>
    <x v="1"/>
    <x v="2"/>
    <x v="2"/>
    <x v="204"/>
    <n v="46609273"/>
    <n v="1474"/>
    <x v="142"/>
    <n v="57633"/>
    <n v="302111"/>
    <n v="22372"/>
    <n v="20717"/>
    <n v="415"/>
    <n v="894886"/>
    <n v="124886"/>
    <n v="642"/>
    <n v="833044"/>
    <n v="21.3"/>
    <n v="47048759"/>
    <n v="39081203"/>
    <n v="15152735"/>
    <n v="74.67"/>
    <n v="8.91"/>
    <n v="4290"/>
    <n v="1.26"/>
    <n v="36.71"/>
  </r>
  <r>
    <x v="1"/>
    <x v="0"/>
    <x v="1"/>
    <x v="205"/>
    <n v="42276934"/>
    <n v="19383"/>
    <x v="143"/>
    <n v="27655"/>
    <n v="104535"/>
    <n v="16117"/>
    <n v="15258"/>
    <n v="1471"/>
    <n v="563513"/>
    <n v="327413"/>
    <n v="2548"/>
    <n v="1476149"/>
    <n v="0.6"/>
    <n v="39880030"/>
    <n v="28024792"/>
    <n v="4035876"/>
    <n v="10.99"/>
    <n v="2.89"/>
    <n v="2056"/>
    <n v="1.78"/>
    <n v="77.86"/>
  </r>
  <r>
    <x v="1"/>
    <x v="1"/>
    <x v="4"/>
    <x v="206"/>
    <n v="25027188"/>
    <n v="19602"/>
    <x v="144"/>
    <n v="44601"/>
    <n v="828165"/>
    <n v="14779"/>
    <n v="5783"/>
    <n v="1535"/>
    <n v="398971"/>
    <n v="68247"/>
    <n v="8561"/>
    <n v="469304"/>
    <n v="17.100000000000001"/>
    <n v="15998177"/>
    <n v="12532709"/>
    <n v="17824913"/>
    <n v="42.47"/>
    <n v="4.12"/>
    <n v="1836"/>
    <n v="2.88"/>
    <n v="32.56"/>
  </r>
  <r>
    <x v="1"/>
    <x v="3"/>
    <x v="2"/>
    <x v="207"/>
    <n v="4960276"/>
    <n v="10858"/>
    <x v="77"/>
    <n v="4114"/>
    <n v="297952"/>
    <n v="29294"/>
    <n v="12796"/>
    <n v="84"/>
    <n v="468663"/>
    <n v="22175"/>
    <n v="3650"/>
    <n v="803699"/>
    <n v="10.039999999999999"/>
    <n v="44142473"/>
    <n v="24379429"/>
    <n v="29561235"/>
    <n v="1.78"/>
    <n v="7.89"/>
    <n v="1459"/>
    <n v="1.5"/>
    <n v="47.5"/>
  </r>
  <r>
    <x v="1"/>
    <x v="2"/>
    <x v="1"/>
    <x v="208"/>
    <n v="41511120"/>
    <n v="6093"/>
    <x v="145"/>
    <n v="27502"/>
    <n v="513438"/>
    <n v="21630"/>
    <n v="15047"/>
    <n v="166"/>
    <n v="840312"/>
    <n v="344259"/>
    <n v="7549"/>
    <n v="805700"/>
    <n v="0.26"/>
    <n v="47608029"/>
    <n v="18972215"/>
    <n v="26121005"/>
    <n v="3.36"/>
    <n v="5.18"/>
    <n v="1812"/>
    <n v="1.95"/>
    <n v="38.85"/>
  </r>
  <r>
    <x v="5"/>
    <x v="2"/>
    <x v="4"/>
    <x v="209"/>
    <n v="27007881"/>
    <n v="7039"/>
    <x v="96"/>
    <n v="50768"/>
    <n v="723648"/>
    <n v="40039"/>
    <n v="1895"/>
    <n v="383"/>
    <n v="770508"/>
    <n v="205888"/>
    <n v="8978"/>
    <n v="639751"/>
    <n v="5.71"/>
    <n v="47719596"/>
    <n v="16356670"/>
    <n v="15260673"/>
    <n v="48.3"/>
    <n v="8.9499999999999993"/>
    <n v="959"/>
    <n v="4.0999999999999996"/>
    <n v="34.25"/>
  </r>
  <r>
    <x v="5"/>
    <x v="2"/>
    <x v="0"/>
    <x v="210"/>
    <n v="42928797"/>
    <n v="6311"/>
    <x v="107"/>
    <n v="49128"/>
    <n v="584247"/>
    <n v="49900"/>
    <n v="39838"/>
    <n v="467"/>
    <n v="578121"/>
    <n v="9404"/>
    <n v="949"/>
    <n v="1981343"/>
    <n v="28.23"/>
    <n v="24628563"/>
    <n v="34332157"/>
    <n v="11910262"/>
    <n v="29.82"/>
    <n v="3.79"/>
    <n v="810"/>
    <n v="0.98"/>
    <n v="2.19"/>
  </r>
  <r>
    <x v="3"/>
    <x v="2"/>
    <x v="1"/>
    <x v="211"/>
    <n v="27945000"/>
    <n v="937"/>
    <x v="146"/>
    <n v="21028"/>
    <n v="396065"/>
    <n v="12178"/>
    <n v="16341"/>
    <n v="1095"/>
    <n v="305103"/>
    <n v="129951"/>
    <n v="5444"/>
    <n v="465151"/>
    <n v="15.63"/>
    <n v="17888761"/>
    <n v="23117175"/>
    <n v="14789462"/>
    <n v="84.51"/>
    <n v="4.01"/>
    <n v="3290"/>
    <n v="0.5"/>
    <n v="36"/>
  </r>
  <r>
    <x v="4"/>
    <x v="2"/>
    <x v="0"/>
    <x v="212"/>
    <n v="18462327"/>
    <n v="19538"/>
    <x v="147"/>
    <n v="56565"/>
    <n v="331322"/>
    <n v="19935"/>
    <n v="40622"/>
    <n v="809"/>
    <n v="786698"/>
    <n v="382973"/>
    <n v="521"/>
    <n v="882779"/>
    <n v="29.92"/>
    <n v="12095284"/>
    <n v="15494703"/>
    <n v="18146909"/>
    <n v="60.22"/>
    <n v="8.94"/>
    <n v="2739"/>
    <n v="1.71"/>
    <n v="88.95"/>
  </r>
  <r>
    <x v="0"/>
    <x v="0"/>
    <x v="0"/>
    <x v="213"/>
    <n v="39016260"/>
    <n v="16483"/>
    <x v="148"/>
    <n v="36333"/>
    <n v="723496"/>
    <n v="47258"/>
    <n v="22505"/>
    <n v="996"/>
    <n v="298807"/>
    <n v="59722"/>
    <n v="6632"/>
    <n v="1240308"/>
    <n v="15.74"/>
    <n v="8477852"/>
    <n v="34898393"/>
    <n v="22596798"/>
    <n v="45.39"/>
    <n v="4.91"/>
    <n v="580"/>
    <n v="2.1800000000000002"/>
    <n v="69.040000000000006"/>
  </r>
  <r>
    <x v="1"/>
    <x v="3"/>
    <x v="3"/>
    <x v="214"/>
    <n v="14726224"/>
    <n v="19994"/>
    <x v="29"/>
    <n v="4174"/>
    <n v="192812"/>
    <n v="22784"/>
    <n v="13460"/>
    <n v="1544"/>
    <n v="165543"/>
    <n v="316459"/>
    <n v="6048"/>
    <n v="1246175"/>
    <n v="16.32"/>
    <n v="40602801"/>
    <n v="39782988"/>
    <n v="17196034"/>
    <n v="40.79"/>
    <n v="5.4"/>
    <n v="1409"/>
    <n v="2.76"/>
    <n v="14.54"/>
  </r>
  <r>
    <x v="6"/>
    <x v="1"/>
    <x v="2"/>
    <x v="215"/>
    <n v="33534792"/>
    <n v="16452"/>
    <x v="149"/>
    <n v="36398"/>
    <n v="113255"/>
    <n v="23027"/>
    <n v="9501"/>
    <n v="1816"/>
    <n v="490487"/>
    <n v="473462"/>
    <n v="354"/>
    <n v="195451"/>
    <n v="11.76"/>
    <n v="8582676"/>
    <n v="11892651"/>
    <n v="9685933"/>
    <n v="49.72"/>
    <n v="3.66"/>
    <n v="3868"/>
    <n v="1.92"/>
    <n v="59.12"/>
  </r>
  <r>
    <x v="0"/>
    <x v="1"/>
    <x v="1"/>
    <x v="216"/>
    <n v="25009968"/>
    <n v="12303"/>
    <x v="138"/>
    <n v="36929"/>
    <n v="611610"/>
    <n v="31008"/>
    <n v="9278"/>
    <n v="472"/>
    <n v="721009"/>
    <n v="336217"/>
    <n v="1482"/>
    <n v="357686"/>
    <n v="9.3000000000000007"/>
    <n v="24510575"/>
    <n v="28981746"/>
    <n v="2465254"/>
    <n v="4.04"/>
    <n v="3.13"/>
    <n v="2077"/>
    <n v="3.97"/>
    <n v="89.22"/>
  </r>
  <r>
    <x v="5"/>
    <x v="1"/>
    <x v="0"/>
    <x v="217"/>
    <n v="19670135"/>
    <n v="19040"/>
    <x v="150"/>
    <n v="5321"/>
    <n v="831997"/>
    <n v="46631"/>
    <n v="27767"/>
    <n v="992"/>
    <n v="347374"/>
    <n v="108754"/>
    <n v="9839"/>
    <n v="697631"/>
    <n v="7.55"/>
    <n v="49922730"/>
    <n v="5717209"/>
    <n v="13942382"/>
    <n v="89.28"/>
    <n v="6.73"/>
    <n v="2610"/>
    <n v="0.28999999999999998"/>
    <n v="70"/>
  </r>
  <r>
    <x v="6"/>
    <x v="1"/>
    <x v="3"/>
    <x v="218"/>
    <n v="2000948"/>
    <n v="7896"/>
    <x v="151"/>
    <n v="56421"/>
    <n v="938687"/>
    <n v="1823"/>
    <n v="41917"/>
    <n v="1281"/>
    <n v="282120"/>
    <n v="405837"/>
    <n v="6994"/>
    <n v="1378332"/>
    <n v="10.3"/>
    <n v="16686312"/>
    <n v="1731126"/>
    <n v="1034416"/>
    <n v="99.83"/>
    <n v="1.64"/>
    <n v="2227"/>
    <n v="2.2200000000000002"/>
    <n v="14.87"/>
  </r>
  <r>
    <x v="6"/>
    <x v="0"/>
    <x v="4"/>
    <x v="219"/>
    <n v="6827090"/>
    <n v="6482"/>
    <x v="152"/>
    <n v="24760"/>
    <n v="509522"/>
    <n v="6852"/>
    <n v="6801"/>
    <n v="274"/>
    <n v="331224"/>
    <n v="249209"/>
    <n v="2215"/>
    <n v="139307"/>
    <n v="13.8"/>
    <n v="657739"/>
    <n v="29077886"/>
    <n v="14046464"/>
    <n v="18.149999999999999"/>
    <n v="8.85"/>
    <n v="1587"/>
    <n v="1.97"/>
    <n v="86.78"/>
  </r>
  <r>
    <x v="6"/>
    <x v="4"/>
    <x v="1"/>
    <x v="220"/>
    <n v="21385050"/>
    <n v="13502"/>
    <x v="153"/>
    <n v="12360"/>
    <n v="2132"/>
    <n v="13072"/>
    <n v="39949"/>
    <n v="1773"/>
    <n v="252331"/>
    <n v="286272"/>
    <n v="4716"/>
    <n v="1138333"/>
    <n v="5.76"/>
    <n v="27767676"/>
    <n v="12476500"/>
    <n v="18156392"/>
    <n v="12.04"/>
    <n v="7.9"/>
    <n v="1323"/>
    <n v="3.27"/>
    <n v="30.15"/>
  </r>
  <r>
    <x v="3"/>
    <x v="3"/>
    <x v="0"/>
    <x v="221"/>
    <n v="32334022"/>
    <n v="13445"/>
    <x v="154"/>
    <n v="11313"/>
    <n v="694619"/>
    <n v="11133"/>
    <n v="28324"/>
    <n v="1043"/>
    <n v="892508"/>
    <n v="39428"/>
    <n v="8619"/>
    <n v="410633"/>
    <n v="6.75"/>
    <n v="22893874"/>
    <n v="12570325"/>
    <n v="18636309"/>
    <n v="14.36"/>
    <n v="2.31"/>
    <n v="2831"/>
    <n v="4.83"/>
    <n v="45.41"/>
  </r>
  <r>
    <x v="5"/>
    <x v="2"/>
    <x v="2"/>
    <x v="222"/>
    <n v="39891628"/>
    <n v="3815"/>
    <x v="155"/>
    <n v="6801"/>
    <n v="752972"/>
    <n v="15111"/>
    <n v="28593"/>
    <n v="1513"/>
    <n v="349237"/>
    <n v="289545"/>
    <n v="5821"/>
    <n v="885507"/>
    <n v="8.15"/>
    <n v="34250912"/>
    <n v="13372018"/>
    <n v="4127196"/>
    <n v="66.099999999999994"/>
    <n v="7.09"/>
    <n v="996"/>
    <n v="2.6"/>
    <n v="52.61"/>
  </r>
  <r>
    <x v="6"/>
    <x v="4"/>
    <x v="3"/>
    <x v="223"/>
    <n v="15726559"/>
    <n v="18872"/>
    <x v="156"/>
    <n v="15130"/>
    <n v="851100"/>
    <n v="32312"/>
    <n v="21560"/>
    <n v="1768"/>
    <n v="724910"/>
    <n v="300259"/>
    <n v="2537"/>
    <n v="297753"/>
    <n v="13.48"/>
    <n v="9717137"/>
    <n v="30780217"/>
    <n v="10770829"/>
    <n v="66.14"/>
    <n v="6.23"/>
    <n v="1348"/>
    <n v="4.9400000000000004"/>
    <n v="85.05"/>
  </r>
  <r>
    <x v="1"/>
    <x v="1"/>
    <x v="0"/>
    <x v="224"/>
    <n v="36757426"/>
    <n v="16000"/>
    <x v="129"/>
    <n v="15271"/>
    <n v="260427"/>
    <n v="24161"/>
    <n v="103"/>
    <n v="489"/>
    <n v="207098"/>
    <n v="218448"/>
    <n v="6339"/>
    <n v="890217"/>
    <n v="19.579999999999998"/>
    <n v="21941837"/>
    <n v="8384640"/>
    <n v="17569263"/>
    <n v="84.79"/>
    <n v="2.25"/>
    <n v="2561"/>
    <n v="1.58"/>
    <n v="93.16"/>
  </r>
  <r>
    <x v="2"/>
    <x v="4"/>
    <x v="2"/>
    <x v="225"/>
    <n v="28370540"/>
    <n v="12552"/>
    <x v="157"/>
    <n v="17075"/>
    <n v="432779"/>
    <n v="39287"/>
    <n v="35765"/>
    <n v="1756"/>
    <n v="498212"/>
    <n v="36945"/>
    <n v="8736"/>
    <n v="1303776"/>
    <n v="25.68"/>
    <n v="23535893"/>
    <n v="20051488"/>
    <n v="12357851"/>
    <n v="75.180000000000007"/>
    <n v="3.1"/>
    <n v="2238"/>
    <n v="0.25"/>
    <n v="92.97"/>
  </r>
  <r>
    <x v="6"/>
    <x v="3"/>
    <x v="0"/>
    <x v="226"/>
    <n v="32934302"/>
    <n v="9791"/>
    <x v="37"/>
    <n v="19984"/>
    <n v="486443"/>
    <n v="1777"/>
    <n v="45625"/>
    <n v="325"/>
    <n v="896003"/>
    <n v="349062"/>
    <n v="4919"/>
    <n v="952406"/>
    <n v="8.61"/>
    <n v="40773140"/>
    <n v="35572854"/>
    <n v="514004"/>
    <n v="44.97"/>
    <n v="4.3899999999999997"/>
    <n v="931"/>
    <n v="0.91"/>
    <n v="0.8"/>
  </r>
  <r>
    <x v="3"/>
    <x v="2"/>
    <x v="1"/>
    <x v="227"/>
    <n v="39612237"/>
    <n v="5991"/>
    <x v="158"/>
    <n v="61942"/>
    <n v="634123"/>
    <n v="24014"/>
    <n v="9977"/>
    <n v="528"/>
    <n v="639620"/>
    <n v="76494"/>
    <n v="7075"/>
    <n v="1597509"/>
    <n v="5.51"/>
    <n v="49306496"/>
    <n v="6120632"/>
    <n v="24490156"/>
    <n v="61.29"/>
    <n v="7.14"/>
    <n v="1897"/>
    <n v="2.04"/>
    <n v="92.19"/>
  </r>
  <r>
    <x v="0"/>
    <x v="2"/>
    <x v="1"/>
    <x v="228"/>
    <n v="38956876"/>
    <n v="4905"/>
    <x v="159"/>
    <n v="13861"/>
    <n v="143003"/>
    <n v="14772"/>
    <n v="16228"/>
    <n v="891"/>
    <n v="401223"/>
    <n v="175331"/>
    <n v="3765"/>
    <n v="1505665"/>
    <n v="11.37"/>
    <n v="40787306"/>
    <n v="28004997"/>
    <n v="5704415"/>
    <n v="68.83"/>
    <n v="6.57"/>
    <n v="2025"/>
    <n v="1.65"/>
    <n v="5.44"/>
  </r>
  <r>
    <x v="5"/>
    <x v="3"/>
    <x v="1"/>
    <x v="229"/>
    <n v="17469728"/>
    <n v="15216"/>
    <x v="160"/>
    <n v="62247"/>
    <n v="783516"/>
    <n v="46389"/>
    <n v="43230"/>
    <n v="88"/>
    <n v="464109"/>
    <n v="305958"/>
    <n v="8850"/>
    <n v="1769494"/>
    <n v="26.83"/>
    <n v="48985459"/>
    <n v="16145072"/>
    <n v="23602565"/>
    <n v="51.27"/>
    <n v="5.56"/>
    <n v="4318"/>
    <n v="0.57999999999999996"/>
    <n v="26.58"/>
  </r>
  <r>
    <x v="3"/>
    <x v="3"/>
    <x v="3"/>
    <x v="230"/>
    <n v="48218418"/>
    <n v="19195"/>
    <x v="78"/>
    <n v="21977"/>
    <n v="598457"/>
    <n v="44627"/>
    <n v="8637"/>
    <n v="485"/>
    <n v="667978"/>
    <n v="80822"/>
    <n v="7082"/>
    <n v="325377"/>
    <n v="0.3"/>
    <n v="18720635"/>
    <n v="27724309"/>
    <n v="19771893"/>
    <n v="47.57"/>
    <n v="7.8"/>
    <n v="4618"/>
    <n v="2.2200000000000002"/>
    <n v="51.5"/>
  </r>
  <r>
    <x v="6"/>
    <x v="1"/>
    <x v="1"/>
    <x v="231"/>
    <n v="20991595"/>
    <n v="5838"/>
    <x v="69"/>
    <n v="51617"/>
    <n v="261529"/>
    <n v="18161"/>
    <n v="4957"/>
    <n v="707"/>
    <n v="182101"/>
    <n v="493037"/>
    <n v="2827"/>
    <n v="1423163"/>
    <n v="20.34"/>
    <n v="20103470"/>
    <n v="35480067"/>
    <n v="16796408"/>
    <n v="64.510000000000005"/>
    <n v="7.7"/>
    <n v="3014"/>
    <n v="1.76"/>
    <n v="47.99"/>
  </r>
  <r>
    <x v="5"/>
    <x v="2"/>
    <x v="2"/>
    <x v="232"/>
    <n v="31675239"/>
    <n v="251"/>
    <x v="87"/>
    <n v="58473"/>
    <n v="444855"/>
    <n v="42264"/>
    <n v="39429"/>
    <n v="349"/>
    <n v="69182"/>
    <n v="490046"/>
    <n v="2058"/>
    <n v="1204049"/>
    <n v="14.31"/>
    <n v="49466069"/>
    <n v="29783879"/>
    <n v="23989507"/>
    <n v="55.75"/>
    <n v="6.37"/>
    <n v="3113"/>
    <n v="0.7"/>
    <n v="60.47"/>
  </r>
  <r>
    <x v="2"/>
    <x v="4"/>
    <x v="0"/>
    <x v="233"/>
    <n v="6345447"/>
    <n v="10611"/>
    <x v="23"/>
    <n v="16630"/>
    <n v="254608"/>
    <n v="7490"/>
    <n v="23188"/>
    <n v="1107"/>
    <n v="223509"/>
    <n v="287474"/>
    <n v="7749"/>
    <n v="795203"/>
    <n v="4.83"/>
    <n v="35941549"/>
    <n v="37837759"/>
    <n v="18663554"/>
    <n v="64.39"/>
    <n v="7.98"/>
    <n v="3178"/>
    <n v="1.55"/>
    <n v="47.94"/>
  </r>
  <r>
    <x v="6"/>
    <x v="0"/>
    <x v="4"/>
    <x v="234"/>
    <n v="47347988"/>
    <n v="16951"/>
    <x v="161"/>
    <n v="21056"/>
    <n v="759673"/>
    <n v="41661"/>
    <n v="28886"/>
    <n v="386"/>
    <n v="447892"/>
    <n v="92654"/>
    <n v="730"/>
    <n v="1517243"/>
    <n v="9.6300000000000008"/>
    <n v="49116725"/>
    <n v="14887076"/>
    <n v="18054256"/>
    <n v="61.29"/>
    <n v="3.68"/>
    <n v="547"/>
    <n v="4.4400000000000004"/>
    <n v="93.44"/>
  </r>
  <r>
    <x v="3"/>
    <x v="0"/>
    <x v="2"/>
    <x v="235"/>
    <n v="35603852"/>
    <n v="7787"/>
    <x v="155"/>
    <n v="8382"/>
    <n v="715261"/>
    <n v="24502"/>
    <n v="22918"/>
    <n v="86"/>
    <n v="247053"/>
    <n v="49362"/>
    <n v="1832"/>
    <n v="473650"/>
    <n v="6.75"/>
    <n v="17797792"/>
    <n v="23047070"/>
    <n v="5554973"/>
    <n v="71.92"/>
    <n v="8.8699999999999992"/>
    <n v="2266"/>
    <n v="1.58"/>
    <n v="24.05"/>
  </r>
  <r>
    <x v="4"/>
    <x v="3"/>
    <x v="2"/>
    <x v="236"/>
    <n v="12237532"/>
    <n v="2038"/>
    <x v="102"/>
    <n v="56739"/>
    <n v="625705"/>
    <n v="35757"/>
    <n v="35922"/>
    <n v="306"/>
    <n v="354357"/>
    <n v="483517"/>
    <n v="8600"/>
    <n v="461665"/>
    <n v="26.33"/>
    <n v="17462521"/>
    <n v="9478700"/>
    <n v="17400737"/>
    <n v="64.28"/>
    <n v="6.34"/>
    <n v="1038"/>
    <n v="3.6"/>
    <n v="27.4"/>
  </r>
  <r>
    <x v="1"/>
    <x v="1"/>
    <x v="1"/>
    <x v="237"/>
    <n v="48991820"/>
    <n v="15491"/>
    <x v="162"/>
    <n v="49639"/>
    <n v="526332"/>
    <n v="41111"/>
    <n v="19981"/>
    <n v="1873"/>
    <n v="366704"/>
    <n v="41822"/>
    <n v="6505"/>
    <n v="365745"/>
    <n v="14.46"/>
    <n v="49169384"/>
    <n v="32783577"/>
    <n v="15780883"/>
    <n v="51.97"/>
    <n v="8.31"/>
    <n v="2658"/>
    <n v="3.1"/>
    <n v="92.07"/>
  </r>
  <r>
    <x v="0"/>
    <x v="0"/>
    <x v="3"/>
    <x v="238"/>
    <n v="8812934"/>
    <n v="11787"/>
    <x v="56"/>
    <n v="60838"/>
    <n v="178763"/>
    <n v="32737"/>
    <n v="32594"/>
    <n v="1177"/>
    <n v="660274"/>
    <n v="439675"/>
    <n v="7170"/>
    <n v="1535396"/>
    <n v="16.89"/>
    <n v="11955962"/>
    <n v="3104490"/>
    <n v="11897046"/>
    <n v="68.180000000000007"/>
    <n v="5.69"/>
    <n v="2525"/>
    <n v="2.19"/>
    <n v="7.67"/>
  </r>
  <r>
    <x v="3"/>
    <x v="2"/>
    <x v="0"/>
    <x v="239"/>
    <n v="4400379"/>
    <n v="14306"/>
    <x v="163"/>
    <n v="47041"/>
    <n v="232807"/>
    <n v="17709"/>
    <n v="49238"/>
    <n v="439"/>
    <n v="83530"/>
    <n v="325040"/>
    <n v="4179"/>
    <n v="1444734"/>
    <n v="17.809999999999999"/>
    <n v="30486438"/>
    <n v="12838535"/>
    <n v="26535162"/>
    <n v="44.95"/>
    <n v="2.58"/>
    <n v="4564"/>
    <n v="1.27"/>
    <n v="60.96"/>
  </r>
  <r>
    <x v="5"/>
    <x v="3"/>
    <x v="3"/>
    <x v="240"/>
    <n v="37858841"/>
    <n v="7212"/>
    <x v="164"/>
    <n v="1992"/>
    <n v="25363"/>
    <n v="44682"/>
    <n v="8969"/>
    <n v="739"/>
    <n v="120860"/>
    <n v="171331"/>
    <n v="6299"/>
    <n v="1725324"/>
    <n v="19.190000000000001"/>
    <n v="46363306"/>
    <n v="11025063"/>
    <n v="29307367"/>
    <n v="24.17"/>
    <n v="5.65"/>
    <n v="1420"/>
    <n v="1.91"/>
    <n v="68.17"/>
  </r>
  <r>
    <x v="6"/>
    <x v="4"/>
    <x v="0"/>
    <x v="241"/>
    <n v="11853540"/>
    <n v="13115"/>
    <x v="83"/>
    <n v="68657"/>
    <n v="309838"/>
    <n v="8998"/>
    <n v="28271"/>
    <n v="1983"/>
    <n v="872905"/>
    <n v="240840"/>
    <n v="7830"/>
    <n v="912656"/>
    <n v="14.87"/>
    <n v="15189686"/>
    <n v="16105196"/>
    <n v="29498749"/>
    <n v="0.14000000000000001"/>
    <n v="4.03"/>
    <n v="3638"/>
    <n v="3"/>
    <n v="50.55"/>
  </r>
  <r>
    <x v="1"/>
    <x v="3"/>
    <x v="0"/>
    <x v="242"/>
    <n v="7222055"/>
    <n v="14164"/>
    <x v="165"/>
    <n v="28160"/>
    <n v="395798"/>
    <n v="28906"/>
    <n v="41075"/>
    <n v="263"/>
    <n v="659797"/>
    <n v="87152"/>
    <n v="4802"/>
    <n v="608539"/>
    <n v="0.54"/>
    <n v="19274753"/>
    <n v="23422556"/>
    <n v="904600"/>
    <n v="56"/>
    <n v="7.13"/>
    <n v="2552"/>
    <n v="1.82"/>
    <n v="69.42"/>
  </r>
  <r>
    <x v="6"/>
    <x v="4"/>
    <x v="3"/>
    <x v="243"/>
    <n v="15556024"/>
    <n v="8449"/>
    <x v="158"/>
    <n v="46156"/>
    <n v="998414"/>
    <n v="35490"/>
    <n v="39472"/>
    <n v="976"/>
    <n v="823663"/>
    <n v="100908"/>
    <n v="6057"/>
    <n v="582330"/>
    <n v="10.039999999999999"/>
    <n v="39754945"/>
    <n v="10189828"/>
    <n v="27315470"/>
    <n v="59.07"/>
    <n v="5.0199999999999996"/>
    <n v="4859"/>
    <n v="1.1499999999999999"/>
    <n v="17.28"/>
  </r>
  <r>
    <x v="5"/>
    <x v="3"/>
    <x v="2"/>
    <x v="244"/>
    <n v="49468538"/>
    <n v="5683"/>
    <x v="166"/>
    <n v="52375"/>
    <n v="985348"/>
    <n v="4656"/>
    <n v="15845"/>
    <n v="734"/>
    <n v="694525"/>
    <n v="255516"/>
    <n v="6615"/>
    <n v="841172"/>
    <n v="5.52"/>
    <n v="47545509"/>
    <n v="28726004"/>
    <n v="8083365"/>
    <n v="97.2"/>
    <n v="8.44"/>
    <n v="228"/>
    <n v="0.67"/>
    <n v="85.26"/>
  </r>
  <r>
    <x v="6"/>
    <x v="3"/>
    <x v="0"/>
    <x v="245"/>
    <n v="9535949"/>
    <n v="5805"/>
    <x v="164"/>
    <n v="20572"/>
    <n v="808733"/>
    <n v="36901"/>
    <n v="19267"/>
    <n v="420"/>
    <n v="468226"/>
    <n v="262228"/>
    <n v="6762"/>
    <n v="197945"/>
    <n v="20.399999999999999"/>
    <n v="8916726"/>
    <n v="25132903"/>
    <n v="17063318"/>
    <n v="36.15"/>
    <n v="6.94"/>
    <n v="1979"/>
    <n v="4.41"/>
    <n v="14"/>
  </r>
  <r>
    <x v="4"/>
    <x v="3"/>
    <x v="3"/>
    <x v="246"/>
    <n v="18798198"/>
    <n v="10875"/>
    <x v="167"/>
    <n v="5136"/>
    <n v="337473"/>
    <n v="25735"/>
    <n v="3356"/>
    <n v="492"/>
    <n v="506397"/>
    <n v="221381"/>
    <n v="5543"/>
    <n v="1620888"/>
    <n v="1.7"/>
    <n v="28236786"/>
    <n v="10480470"/>
    <n v="5743809"/>
    <n v="39.409999999999997"/>
    <n v="7"/>
    <n v="2598"/>
    <n v="2.2599999999999998"/>
    <n v="40.08"/>
  </r>
  <r>
    <x v="1"/>
    <x v="4"/>
    <x v="0"/>
    <x v="247"/>
    <n v="33172748"/>
    <n v="4167"/>
    <x v="168"/>
    <n v="62868"/>
    <n v="2620"/>
    <n v="29092"/>
    <n v="30817"/>
    <n v="632"/>
    <n v="114860"/>
    <n v="398555"/>
    <n v="8325"/>
    <n v="1728386"/>
    <n v="16.91"/>
    <n v="27087772"/>
    <n v="32635372"/>
    <n v="26322360"/>
    <n v="20.18"/>
    <n v="2.56"/>
    <n v="4884"/>
    <n v="3.16"/>
    <n v="7.53"/>
  </r>
  <r>
    <x v="1"/>
    <x v="4"/>
    <x v="4"/>
    <x v="248"/>
    <n v="6781646"/>
    <n v="1568"/>
    <x v="169"/>
    <n v="33167"/>
    <n v="325368"/>
    <n v="1242"/>
    <n v="30428"/>
    <n v="992"/>
    <n v="264394"/>
    <n v="246152"/>
    <n v="4883"/>
    <n v="1630829"/>
    <n v="6.32"/>
    <n v="24313587"/>
    <n v="13804929"/>
    <n v="4157752"/>
    <n v="7.05"/>
    <n v="9.85"/>
    <n v="161"/>
    <n v="2.5"/>
    <n v="54.52"/>
  </r>
  <r>
    <x v="5"/>
    <x v="3"/>
    <x v="2"/>
    <x v="249"/>
    <n v="40480720"/>
    <n v="16396"/>
    <x v="170"/>
    <n v="16479"/>
    <n v="450871"/>
    <n v="41307"/>
    <n v="11350"/>
    <n v="410"/>
    <n v="589806"/>
    <n v="354195"/>
    <n v="7050"/>
    <n v="273201"/>
    <n v="28.47"/>
    <n v="9596013"/>
    <n v="14290494"/>
    <n v="13733966"/>
    <n v="77.28"/>
    <n v="8.5"/>
    <n v="3269"/>
    <n v="4.38"/>
    <n v="66.97"/>
  </r>
  <r>
    <x v="0"/>
    <x v="0"/>
    <x v="1"/>
    <x v="250"/>
    <n v="43644878"/>
    <n v="2650"/>
    <x v="171"/>
    <n v="32376"/>
    <n v="96419"/>
    <n v="1831"/>
    <n v="33022"/>
    <n v="172"/>
    <n v="397743"/>
    <n v="313130"/>
    <n v="4959"/>
    <n v="749609"/>
    <n v="10.07"/>
    <n v="11598203"/>
    <n v="34690015"/>
    <n v="25688243"/>
    <n v="24.97"/>
    <n v="8"/>
    <n v="764"/>
    <n v="2.78"/>
    <n v="94.12"/>
  </r>
  <r>
    <x v="4"/>
    <x v="1"/>
    <x v="0"/>
    <x v="251"/>
    <n v="29251505"/>
    <n v="13287"/>
    <x v="149"/>
    <n v="5823"/>
    <n v="693894"/>
    <n v="28511"/>
    <n v="35403"/>
    <n v="3"/>
    <n v="765692"/>
    <n v="365668"/>
    <n v="666"/>
    <n v="796415"/>
    <n v="9.76"/>
    <n v="13536066"/>
    <n v="32258590"/>
    <n v="5233643"/>
    <n v="60.89"/>
    <n v="3.64"/>
    <n v="1451"/>
    <n v="2.46"/>
    <n v="73.930000000000007"/>
  </r>
  <r>
    <x v="3"/>
    <x v="1"/>
    <x v="4"/>
    <x v="252"/>
    <n v="22458593"/>
    <n v="18629"/>
    <x v="81"/>
    <n v="20585"/>
    <n v="907482"/>
    <n v="7246"/>
    <n v="36627"/>
    <n v="853"/>
    <n v="137317"/>
    <n v="420511"/>
    <n v="276"/>
    <n v="393613"/>
    <n v="27.7"/>
    <n v="2786278"/>
    <n v="38664093"/>
    <n v="21402274"/>
    <n v="68.78"/>
    <n v="5.59"/>
    <n v="2974"/>
    <n v="4.63"/>
    <n v="54.11"/>
  </r>
  <r>
    <x v="6"/>
    <x v="1"/>
    <x v="1"/>
    <x v="253"/>
    <n v="39335523"/>
    <n v="3604"/>
    <x v="75"/>
    <n v="18272"/>
    <n v="497712"/>
    <n v="31467"/>
    <n v="9607"/>
    <n v="1663"/>
    <n v="193303"/>
    <n v="104797"/>
    <n v="881"/>
    <n v="545283"/>
    <n v="12.52"/>
    <n v="30359110"/>
    <n v="31021570"/>
    <n v="10491593"/>
    <n v="47.12"/>
    <n v="1.8"/>
    <n v="1431"/>
    <n v="3.63"/>
    <n v="93.26"/>
  </r>
  <r>
    <x v="2"/>
    <x v="4"/>
    <x v="1"/>
    <x v="254"/>
    <n v="38462717"/>
    <n v="16243"/>
    <x v="172"/>
    <n v="27619"/>
    <n v="957894"/>
    <n v="18302"/>
    <n v="25567"/>
    <n v="985"/>
    <n v="611772"/>
    <n v="488175"/>
    <n v="2060"/>
    <n v="115587"/>
    <n v="28.89"/>
    <n v="1867427"/>
    <n v="25184050"/>
    <n v="17817613"/>
    <n v="87.64"/>
    <n v="5.62"/>
    <n v="3177"/>
    <n v="0.65"/>
    <n v="47.84"/>
  </r>
  <r>
    <x v="6"/>
    <x v="4"/>
    <x v="0"/>
    <x v="255"/>
    <n v="15445952"/>
    <n v="19283"/>
    <x v="173"/>
    <n v="40895"/>
    <n v="727989"/>
    <n v="3232"/>
    <n v="7747"/>
    <n v="1495"/>
    <n v="894915"/>
    <n v="231672"/>
    <n v="2082"/>
    <n v="1282652"/>
    <n v="0.73"/>
    <n v="13386012"/>
    <n v="11034167"/>
    <n v="11950938"/>
    <n v="44.38"/>
    <n v="1.89"/>
    <n v="4958"/>
    <n v="0.97"/>
    <n v="56.12"/>
  </r>
  <r>
    <x v="6"/>
    <x v="0"/>
    <x v="3"/>
    <x v="256"/>
    <n v="13863838"/>
    <n v="15303"/>
    <x v="146"/>
    <n v="4720"/>
    <n v="843288"/>
    <n v="36526"/>
    <n v="46802"/>
    <n v="1133"/>
    <n v="815383"/>
    <n v="232942"/>
    <n v="6702"/>
    <n v="747988"/>
    <n v="9.19"/>
    <n v="26623862"/>
    <n v="31514633"/>
    <n v="18073845"/>
    <n v="28.49"/>
    <n v="5.75"/>
    <n v="3061"/>
    <n v="3.96"/>
    <n v="59.61"/>
  </r>
  <r>
    <x v="3"/>
    <x v="1"/>
    <x v="0"/>
    <x v="257"/>
    <n v="28050115"/>
    <n v="16244"/>
    <x v="174"/>
    <n v="20267"/>
    <n v="181324"/>
    <n v="38765"/>
    <n v="44778"/>
    <n v="1890"/>
    <n v="356387"/>
    <n v="96399"/>
    <n v="9429"/>
    <n v="471897"/>
    <n v="19.989999999999998"/>
    <n v="46450800"/>
    <n v="23066172"/>
    <n v="19892221"/>
    <n v="89.6"/>
    <n v="6.66"/>
    <n v="1258"/>
    <n v="4.2"/>
    <n v="41"/>
  </r>
  <r>
    <x v="6"/>
    <x v="1"/>
    <x v="4"/>
    <x v="258"/>
    <n v="42066801"/>
    <n v="1792"/>
    <x v="115"/>
    <n v="16696"/>
    <n v="318953"/>
    <n v="10972"/>
    <n v="41111"/>
    <n v="1060"/>
    <n v="858406"/>
    <n v="165846"/>
    <n v="158"/>
    <n v="1088462"/>
    <n v="26.73"/>
    <n v="24036822"/>
    <n v="11780077"/>
    <n v="9536525"/>
    <n v="86.16"/>
    <n v="4.21"/>
    <n v="3175"/>
    <n v="2.77"/>
    <n v="83.85"/>
  </r>
  <r>
    <x v="4"/>
    <x v="3"/>
    <x v="1"/>
    <x v="259"/>
    <n v="11544590"/>
    <n v="1356"/>
    <x v="175"/>
    <n v="30968"/>
    <n v="547547"/>
    <n v="48136"/>
    <n v="17286"/>
    <n v="582"/>
    <n v="717396"/>
    <n v="149277"/>
    <n v="5229"/>
    <n v="1400745"/>
    <n v="7.69"/>
    <n v="9678636"/>
    <n v="29059633"/>
    <n v="3872866"/>
    <n v="16.399999999999999"/>
    <n v="5.24"/>
    <n v="86"/>
    <n v="2.82"/>
    <n v="18.52"/>
  </r>
  <r>
    <x v="4"/>
    <x v="4"/>
    <x v="0"/>
    <x v="260"/>
    <n v="12133575"/>
    <n v="3899"/>
    <x v="124"/>
    <n v="54364"/>
    <n v="21655"/>
    <n v="34592"/>
    <n v="7320"/>
    <n v="1824"/>
    <n v="12650"/>
    <n v="160911"/>
    <n v="7956"/>
    <n v="490788"/>
    <n v="27.91"/>
    <n v="31085071"/>
    <n v="21356665"/>
    <n v="27881504"/>
    <n v="2.6"/>
    <n v="8.82"/>
    <n v="1878"/>
    <n v="3.2"/>
    <n v="55.48"/>
  </r>
  <r>
    <x v="1"/>
    <x v="1"/>
    <x v="3"/>
    <x v="261"/>
    <n v="5559667"/>
    <n v="12410"/>
    <x v="42"/>
    <n v="24345"/>
    <n v="951509"/>
    <n v="10683"/>
    <n v="35177"/>
    <n v="1054"/>
    <n v="800338"/>
    <n v="163141"/>
    <n v="7514"/>
    <n v="96149"/>
    <n v="17.82"/>
    <n v="30699550"/>
    <n v="25761753"/>
    <n v="2991539"/>
    <n v="9"/>
    <n v="1.53"/>
    <n v="3110"/>
    <n v="2.25"/>
    <n v="72.22"/>
  </r>
  <r>
    <x v="5"/>
    <x v="0"/>
    <x v="0"/>
    <x v="262"/>
    <n v="42145168"/>
    <n v="12818"/>
    <x v="100"/>
    <n v="52567"/>
    <n v="950133"/>
    <n v="23664"/>
    <n v="37418"/>
    <n v="1974"/>
    <n v="151353"/>
    <n v="14597"/>
    <n v="7803"/>
    <n v="619308"/>
    <n v="24.03"/>
    <n v="29978785"/>
    <n v="33606144"/>
    <n v="22438144"/>
    <n v="28.65"/>
    <n v="8.02"/>
    <n v="3391"/>
    <n v="3.43"/>
    <n v="90.4"/>
  </r>
  <r>
    <x v="0"/>
    <x v="0"/>
    <x v="2"/>
    <x v="263"/>
    <n v="37040128"/>
    <n v="13082"/>
    <x v="176"/>
    <n v="62607"/>
    <n v="942114"/>
    <n v="36828"/>
    <n v="19354"/>
    <n v="380"/>
    <n v="188989"/>
    <n v="395132"/>
    <n v="2526"/>
    <n v="1576537"/>
    <n v="11.92"/>
    <n v="40445745"/>
    <n v="13028317"/>
    <n v="11743265"/>
    <n v="97.23"/>
    <n v="2.12"/>
    <n v="3991"/>
    <n v="0.63"/>
    <n v="88.39"/>
  </r>
  <r>
    <x v="2"/>
    <x v="1"/>
    <x v="3"/>
    <x v="264"/>
    <n v="9326233"/>
    <n v="4245"/>
    <x v="38"/>
    <n v="20385"/>
    <n v="451400"/>
    <n v="33172"/>
    <n v="10401"/>
    <n v="1291"/>
    <n v="890089"/>
    <n v="254304"/>
    <n v="8302"/>
    <n v="953394"/>
    <n v="6.37"/>
    <n v="33870528"/>
    <n v="975288"/>
    <n v="29530130"/>
    <n v="55.85"/>
    <n v="0.85"/>
    <n v="859"/>
    <n v="4.8099999999999996"/>
    <n v="50.87"/>
  </r>
  <r>
    <x v="6"/>
    <x v="4"/>
    <x v="4"/>
    <x v="265"/>
    <n v="37355538"/>
    <n v="18989"/>
    <x v="50"/>
    <n v="67900"/>
    <n v="22602"/>
    <n v="18105"/>
    <n v="10902"/>
    <n v="1034"/>
    <n v="543113"/>
    <n v="381159"/>
    <n v="7803"/>
    <n v="1913521"/>
    <n v="27.34"/>
    <n v="36627153"/>
    <n v="12188709"/>
    <n v="23232151"/>
    <n v="37.33"/>
    <n v="2.2599999999999998"/>
    <n v="3122"/>
    <n v="3.78"/>
    <n v="64.319999999999993"/>
  </r>
  <r>
    <x v="6"/>
    <x v="0"/>
    <x v="1"/>
    <x v="266"/>
    <n v="47836078"/>
    <n v="18739"/>
    <x v="9"/>
    <n v="69244"/>
    <n v="873377"/>
    <n v="21700"/>
    <n v="11207"/>
    <n v="343"/>
    <n v="200256"/>
    <n v="257571"/>
    <n v="6574"/>
    <n v="24466"/>
    <n v="27.99"/>
    <n v="27821433"/>
    <n v="35816785"/>
    <n v="11276265"/>
    <n v="88.87"/>
    <n v="7.77"/>
    <n v="4168"/>
    <n v="3.19"/>
    <n v="39.42"/>
  </r>
  <r>
    <x v="3"/>
    <x v="3"/>
    <x v="0"/>
    <x v="267"/>
    <n v="18649286"/>
    <n v="7669"/>
    <x v="177"/>
    <n v="66425"/>
    <n v="667470"/>
    <n v="11017"/>
    <n v="13060"/>
    <n v="1863"/>
    <n v="881347"/>
    <n v="92119"/>
    <n v="8733"/>
    <n v="238626"/>
    <n v="14.93"/>
    <n v="36716989"/>
    <n v="28073920"/>
    <n v="1852675"/>
    <n v="45.31"/>
    <n v="4.3499999999999996"/>
    <n v="1576"/>
    <n v="1.65"/>
    <n v="46.82"/>
  </r>
  <r>
    <x v="5"/>
    <x v="0"/>
    <x v="3"/>
    <x v="268"/>
    <n v="28096545"/>
    <n v="9330"/>
    <x v="96"/>
    <n v="33919"/>
    <n v="924577"/>
    <n v="36613"/>
    <n v="36152"/>
    <n v="1567"/>
    <n v="508263"/>
    <n v="190426"/>
    <n v="1138"/>
    <n v="1928553"/>
    <n v="0.19"/>
    <n v="5171943"/>
    <n v="3772093"/>
    <n v="23477923"/>
    <n v="31.52"/>
    <n v="8.7899999999999991"/>
    <n v="3569"/>
    <n v="0.89"/>
    <n v="90.63"/>
  </r>
  <r>
    <x v="4"/>
    <x v="2"/>
    <x v="2"/>
    <x v="269"/>
    <n v="23998524"/>
    <n v="2692"/>
    <x v="178"/>
    <n v="58196"/>
    <n v="888278"/>
    <n v="20594"/>
    <n v="45689"/>
    <n v="1592"/>
    <n v="729329"/>
    <n v="109117"/>
    <n v="7257"/>
    <n v="1559542"/>
    <n v="3.29"/>
    <n v="10490282"/>
    <n v="34288823"/>
    <n v="24434489"/>
    <n v="94.12"/>
    <n v="5.48"/>
    <n v="4941"/>
    <n v="2.11"/>
    <n v="93.07"/>
  </r>
  <r>
    <x v="2"/>
    <x v="2"/>
    <x v="3"/>
    <x v="270"/>
    <n v="29684104"/>
    <n v="9419"/>
    <x v="179"/>
    <n v="1495"/>
    <n v="343962"/>
    <n v="11384"/>
    <n v="41625"/>
    <n v="165"/>
    <n v="18169"/>
    <n v="481011"/>
    <n v="3283"/>
    <n v="1624270"/>
    <n v="17.190000000000001"/>
    <n v="43863735"/>
    <n v="15136834"/>
    <n v="17829279"/>
    <n v="84.95"/>
    <n v="0.71"/>
    <n v="545"/>
    <n v="3.34"/>
    <n v="89.54"/>
  </r>
  <r>
    <x v="1"/>
    <x v="4"/>
    <x v="2"/>
    <x v="271"/>
    <n v="25518569"/>
    <n v="14346"/>
    <x v="112"/>
    <n v="45755"/>
    <n v="928699"/>
    <n v="30348"/>
    <n v="47563"/>
    <n v="699"/>
    <n v="334654"/>
    <n v="331629"/>
    <n v="7762"/>
    <n v="397904"/>
    <n v="0.71"/>
    <n v="37082638"/>
    <n v="18090000"/>
    <n v="7571592"/>
    <n v="84.37"/>
    <n v="7.31"/>
    <n v="474"/>
    <n v="3.21"/>
    <n v="13.84"/>
  </r>
  <r>
    <x v="4"/>
    <x v="1"/>
    <x v="4"/>
    <x v="272"/>
    <n v="11430625"/>
    <n v="15488"/>
    <x v="147"/>
    <n v="68684"/>
    <n v="526825"/>
    <n v="16448"/>
    <n v="43738"/>
    <n v="341"/>
    <n v="506699"/>
    <n v="218320"/>
    <n v="7896"/>
    <n v="1643148"/>
    <n v="11.91"/>
    <n v="46032815"/>
    <n v="4814206"/>
    <n v="23912806"/>
    <n v="51.23"/>
    <n v="1.55"/>
    <n v="2797"/>
    <n v="1.97"/>
    <n v="85.01"/>
  </r>
  <r>
    <x v="5"/>
    <x v="4"/>
    <x v="1"/>
    <x v="273"/>
    <n v="21727468"/>
    <n v="15724"/>
    <x v="49"/>
    <n v="34324"/>
    <n v="411354"/>
    <n v="9491"/>
    <n v="13545"/>
    <n v="1505"/>
    <n v="208336"/>
    <n v="105253"/>
    <n v="2419"/>
    <n v="761006"/>
    <n v="9.1"/>
    <n v="10604336"/>
    <n v="31574919"/>
    <n v="28045007"/>
    <n v="78.94"/>
    <n v="8"/>
    <n v="2115"/>
    <n v="3.11"/>
    <n v="94.84"/>
  </r>
  <r>
    <x v="0"/>
    <x v="4"/>
    <x v="4"/>
    <x v="274"/>
    <n v="44013097"/>
    <n v="4807"/>
    <x v="129"/>
    <n v="2552"/>
    <n v="962832"/>
    <n v="13112"/>
    <n v="41012"/>
    <n v="1042"/>
    <n v="492790"/>
    <n v="33926"/>
    <n v="1756"/>
    <n v="902011"/>
    <n v="21.43"/>
    <n v="11389611"/>
    <n v="18159088"/>
    <n v="6648561"/>
    <n v="17.940000000000001"/>
    <n v="2.1"/>
    <n v="2032"/>
    <n v="4.09"/>
    <n v="36.119999999999997"/>
  </r>
  <r>
    <x v="1"/>
    <x v="4"/>
    <x v="0"/>
    <x v="275"/>
    <n v="9749677"/>
    <n v="3044"/>
    <x v="180"/>
    <n v="52272"/>
    <n v="781498"/>
    <n v="31021"/>
    <n v="43281"/>
    <n v="1651"/>
    <n v="133415"/>
    <n v="110134"/>
    <n v="2306"/>
    <n v="1587529"/>
    <n v="1.67"/>
    <n v="6453001"/>
    <n v="30088999"/>
    <n v="2602562"/>
    <n v="57.32"/>
    <n v="3.78"/>
    <n v="1518"/>
    <n v="0.23"/>
    <n v="51.86"/>
  </r>
  <r>
    <x v="0"/>
    <x v="4"/>
    <x v="3"/>
    <x v="276"/>
    <n v="48157169"/>
    <n v="15276"/>
    <x v="95"/>
    <n v="36853"/>
    <n v="702562"/>
    <n v="44553"/>
    <n v="5132"/>
    <n v="979"/>
    <n v="197181"/>
    <n v="456681"/>
    <n v="7630"/>
    <n v="545929"/>
    <n v="14.66"/>
    <n v="23862803"/>
    <n v="14691024"/>
    <n v="10046579"/>
    <n v="98.38"/>
    <n v="7.73"/>
    <n v="3850"/>
    <n v="2.31"/>
    <n v="77.91"/>
  </r>
  <r>
    <x v="3"/>
    <x v="3"/>
    <x v="2"/>
    <x v="277"/>
    <n v="30723477"/>
    <n v="1321"/>
    <x v="138"/>
    <n v="33924"/>
    <n v="172236"/>
    <n v="968"/>
    <n v="9862"/>
    <n v="1207"/>
    <n v="575600"/>
    <n v="84342"/>
    <n v="6263"/>
    <n v="426716"/>
    <n v="17.37"/>
    <n v="43059781"/>
    <n v="27749720"/>
    <n v="6399177"/>
    <n v="29.1"/>
    <n v="9.57"/>
    <n v="1283"/>
    <n v="3.82"/>
    <n v="56.21"/>
  </r>
  <r>
    <x v="3"/>
    <x v="3"/>
    <x v="2"/>
    <x v="278"/>
    <n v="27827176"/>
    <n v="1863"/>
    <x v="8"/>
    <n v="24889"/>
    <n v="913977"/>
    <n v="368"/>
    <n v="5397"/>
    <n v="1805"/>
    <n v="802991"/>
    <n v="385310"/>
    <n v="9167"/>
    <n v="561085"/>
    <n v="18.52"/>
    <n v="45522439"/>
    <n v="24239037"/>
    <n v="27596151"/>
    <n v="79.44"/>
    <n v="4.03"/>
    <n v="1847"/>
    <n v="2.78"/>
    <n v="99.35"/>
  </r>
  <r>
    <x v="6"/>
    <x v="0"/>
    <x v="3"/>
    <x v="279"/>
    <n v="14237336"/>
    <n v="18895"/>
    <x v="109"/>
    <n v="55675"/>
    <n v="90743"/>
    <n v="8424"/>
    <n v="31769"/>
    <n v="544"/>
    <n v="348913"/>
    <n v="50200"/>
    <n v="5008"/>
    <n v="1789702"/>
    <n v="12.15"/>
    <n v="7940012"/>
    <n v="23876491"/>
    <n v="9783545"/>
    <n v="49.05"/>
    <n v="8.3800000000000008"/>
    <n v="614"/>
    <n v="3.29"/>
    <n v="45.57"/>
  </r>
  <r>
    <x v="0"/>
    <x v="2"/>
    <x v="3"/>
    <x v="280"/>
    <n v="22932851"/>
    <n v="8525"/>
    <x v="138"/>
    <n v="23634"/>
    <n v="448875"/>
    <n v="35010"/>
    <n v="40409"/>
    <n v="1033"/>
    <n v="777650"/>
    <n v="221271"/>
    <n v="5247"/>
    <n v="1357670"/>
    <n v="9.1300000000000008"/>
    <n v="4736033"/>
    <n v="36239832"/>
    <n v="9714109"/>
    <n v="3.98"/>
    <n v="2.31"/>
    <n v="3069"/>
    <n v="2.63"/>
    <n v="71.39"/>
  </r>
  <r>
    <x v="5"/>
    <x v="4"/>
    <x v="0"/>
    <x v="281"/>
    <n v="48532410"/>
    <n v="4446"/>
    <x v="73"/>
    <n v="33363"/>
    <n v="87155"/>
    <n v="35851"/>
    <n v="40004"/>
    <n v="1615"/>
    <n v="172340"/>
    <n v="387414"/>
    <n v="8914"/>
    <n v="1992126"/>
    <n v="20.47"/>
    <n v="27293692"/>
    <n v="16900210"/>
    <n v="7117753"/>
    <n v="76.3"/>
    <n v="8.17"/>
    <n v="1354"/>
    <n v="4.96"/>
    <n v="79.260000000000005"/>
  </r>
  <r>
    <x v="2"/>
    <x v="0"/>
    <x v="4"/>
    <x v="282"/>
    <n v="28873620"/>
    <n v="9333"/>
    <x v="79"/>
    <n v="64752"/>
    <n v="968196"/>
    <n v="25496"/>
    <n v="37886"/>
    <n v="191"/>
    <n v="25895"/>
    <n v="397675"/>
    <n v="2570"/>
    <n v="916986"/>
    <n v="25.43"/>
    <n v="10023647"/>
    <n v="8329315"/>
    <n v="7872789"/>
    <n v="16.86"/>
    <n v="6.75"/>
    <n v="182"/>
    <n v="0.37"/>
    <n v="49.41"/>
  </r>
  <r>
    <x v="1"/>
    <x v="2"/>
    <x v="2"/>
    <x v="283"/>
    <n v="17438661"/>
    <n v="13368"/>
    <x v="126"/>
    <n v="57398"/>
    <n v="907630"/>
    <n v="30936"/>
    <n v="34888"/>
    <n v="319"/>
    <n v="282846"/>
    <n v="358449"/>
    <n v="5807"/>
    <n v="1676203"/>
    <n v="20.81"/>
    <n v="24124082"/>
    <n v="38656437"/>
    <n v="17084527"/>
    <n v="63.15"/>
    <n v="2.33"/>
    <n v="498"/>
    <n v="2.5099999999999998"/>
    <n v="85.7"/>
  </r>
  <r>
    <x v="4"/>
    <x v="1"/>
    <x v="0"/>
    <x v="284"/>
    <n v="4334242"/>
    <n v="17250"/>
    <x v="146"/>
    <n v="41718"/>
    <n v="943349"/>
    <n v="13322"/>
    <n v="33735"/>
    <n v="1725"/>
    <n v="230207"/>
    <n v="12909"/>
    <n v="7812"/>
    <n v="1687295"/>
    <n v="27.96"/>
    <n v="33022709"/>
    <n v="21701976"/>
    <n v="20135754"/>
    <n v="8.57"/>
    <n v="3.37"/>
    <n v="1880"/>
    <n v="0.55000000000000004"/>
    <n v="54.62"/>
  </r>
  <r>
    <x v="5"/>
    <x v="3"/>
    <x v="4"/>
    <x v="285"/>
    <n v="12171439"/>
    <n v="132"/>
    <x v="181"/>
    <n v="27870"/>
    <n v="90846"/>
    <n v="1469"/>
    <n v="7156"/>
    <n v="579"/>
    <n v="771969"/>
    <n v="64550"/>
    <n v="324"/>
    <n v="1281851"/>
    <n v="21.52"/>
    <n v="39058921"/>
    <n v="18659676"/>
    <n v="1854936"/>
    <n v="94.69"/>
    <n v="1.75"/>
    <n v="2208"/>
    <n v="0.88"/>
    <n v="41.17"/>
  </r>
  <r>
    <x v="5"/>
    <x v="2"/>
    <x v="0"/>
    <x v="286"/>
    <n v="30084733"/>
    <n v="1970"/>
    <x v="182"/>
    <n v="38394"/>
    <n v="759795"/>
    <n v="37493"/>
    <n v="570"/>
    <n v="474"/>
    <n v="728908"/>
    <n v="300672"/>
    <n v="7487"/>
    <n v="403854"/>
    <n v="22.94"/>
    <n v="18179"/>
    <n v="7118986"/>
    <n v="20130537"/>
    <n v="29.17"/>
    <n v="4.1399999999999997"/>
    <n v="3676"/>
    <n v="1.98"/>
    <n v="10.78"/>
  </r>
  <r>
    <x v="3"/>
    <x v="1"/>
    <x v="2"/>
    <x v="287"/>
    <n v="6994503"/>
    <n v="7867"/>
    <x v="68"/>
    <n v="53057"/>
    <n v="293706"/>
    <n v="4259"/>
    <n v="1322"/>
    <n v="1883"/>
    <n v="225339"/>
    <n v="488306"/>
    <n v="9721"/>
    <n v="1857181"/>
    <n v="5.04"/>
    <n v="20211307"/>
    <n v="26563405"/>
    <n v="10787503"/>
    <n v="22.65"/>
    <n v="2.4300000000000002"/>
    <n v="899"/>
    <n v="0.86"/>
    <n v="39.340000000000003"/>
  </r>
  <r>
    <x v="0"/>
    <x v="2"/>
    <x v="3"/>
    <x v="288"/>
    <n v="32766497"/>
    <n v="11733"/>
    <x v="177"/>
    <n v="14016"/>
    <n v="815468"/>
    <n v="36390"/>
    <n v="18215"/>
    <n v="636"/>
    <n v="220382"/>
    <n v="335034"/>
    <n v="5645"/>
    <n v="669582"/>
    <n v="12.59"/>
    <n v="27366129"/>
    <n v="32659749"/>
    <n v="6701447"/>
    <n v="12.91"/>
    <n v="6.62"/>
    <n v="4012"/>
    <n v="4.82"/>
    <n v="73.39"/>
  </r>
  <r>
    <x v="6"/>
    <x v="3"/>
    <x v="3"/>
    <x v="289"/>
    <n v="32207048"/>
    <n v="11386"/>
    <x v="61"/>
    <n v="43137"/>
    <n v="717112"/>
    <n v="10292"/>
    <n v="11605"/>
    <n v="426"/>
    <n v="628023"/>
    <n v="111226"/>
    <n v="1945"/>
    <n v="182136"/>
    <n v="14.55"/>
    <n v="1523155"/>
    <n v="24008208"/>
    <n v="3474376"/>
    <n v="94.6"/>
    <n v="9.9499999999999993"/>
    <n v="1530"/>
    <n v="4.74"/>
    <n v="92.13"/>
  </r>
  <r>
    <x v="6"/>
    <x v="3"/>
    <x v="4"/>
    <x v="290"/>
    <n v="1184029"/>
    <n v="15646"/>
    <x v="32"/>
    <n v="1153"/>
    <n v="861665"/>
    <n v="26841"/>
    <n v="22040"/>
    <n v="1871"/>
    <n v="570298"/>
    <n v="352565"/>
    <n v="4486"/>
    <n v="1217658"/>
    <n v="7.69"/>
    <n v="39575575"/>
    <n v="32914375"/>
    <n v="13052046"/>
    <n v="71.19"/>
    <n v="0.61"/>
    <n v="950"/>
    <n v="1.75"/>
    <n v="25.17"/>
  </r>
  <r>
    <x v="1"/>
    <x v="0"/>
    <x v="1"/>
    <x v="291"/>
    <n v="5837355"/>
    <n v="2143"/>
    <x v="9"/>
    <n v="8853"/>
    <n v="608337"/>
    <n v="28365"/>
    <n v="21339"/>
    <n v="1082"/>
    <n v="612733"/>
    <n v="264337"/>
    <n v="2430"/>
    <n v="1302877"/>
    <n v="15.86"/>
    <n v="21570775"/>
    <n v="33932579"/>
    <n v="21042207"/>
    <n v="74.17"/>
    <n v="5.64"/>
    <n v="4904"/>
    <n v="3.23"/>
    <n v="35.520000000000003"/>
  </r>
  <r>
    <x v="3"/>
    <x v="4"/>
    <x v="4"/>
    <x v="292"/>
    <n v="49261066"/>
    <n v="12955"/>
    <x v="56"/>
    <n v="13379"/>
    <n v="240647"/>
    <n v="17207"/>
    <n v="38152"/>
    <n v="1459"/>
    <n v="243302"/>
    <n v="44598"/>
    <n v="3510"/>
    <n v="543383"/>
    <n v="8.7200000000000006"/>
    <n v="47026230"/>
    <n v="39010377"/>
    <n v="19294388"/>
    <n v="49.94"/>
    <n v="5.95"/>
    <n v="1589"/>
    <n v="2.72"/>
    <n v="15.4"/>
  </r>
  <r>
    <x v="5"/>
    <x v="2"/>
    <x v="1"/>
    <x v="293"/>
    <n v="7481440"/>
    <n v="8417"/>
    <x v="183"/>
    <n v="16792"/>
    <n v="331825"/>
    <n v="36199"/>
    <n v="2661"/>
    <n v="96"/>
    <n v="774956"/>
    <n v="116351"/>
    <n v="845"/>
    <n v="1173130"/>
    <n v="20.63"/>
    <n v="19901465"/>
    <n v="26190307"/>
    <n v="12429890"/>
    <n v="47.47"/>
    <n v="9.18"/>
    <n v="1949"/>
    <n v="4.0999999999999996"/>
    <n v="69.069999999999993"/>
  </r>
  <r>
    <x v="2"/>
    <x v="2"/>
    <x v="0"/>
    <x v="294"/>
    <n v="27418198"/>
    <n v="5335"/>
    <x v="184"/>
    <n v="39367"/>
    <n v="290962"/>
    <n v="22912"/>
    <n v="10016"/>
    <n v="495"/>
    <n v="857581"/>
    <n v="41085"/>
    <n v="567"/>
    <n v="395655"/>
    <n v="14.11"/>
    <n v="35297606"/>
    <n v="5648399"/>
    <n v="21659139"/>
    <n v="11"/>
    <n v="5.31"/>
    <n v="2994"/>
    <n v="3.17"/>
    <n v="96.02"/>
  </r>
  <r>
    <x v="3"/>
    <x v="1"/>
    <x v="0"/>
    <x v="295"/>
    <n v="38054126"/>
    <n v="10946"/>
    <x v="153"/>
    <n v="19100"/>
    <n v="949048"/>
    <n v="36919"/>
    <n v="42711"/>
    <n v="1810"/>
    <n v="893655"/>
    <n v="294253"/>
    <n v="2179"/>
    <n v="913046"/>
    <n v="13.76"/>
    <n v="45349049"/>
    <n v="9225551"/>
    <n v="2878237"/>
    <n v="55.98"/>
    <n v="5.67"/>
    <n v="3294"/>
    <n v="0.1"/>
    <n v="64.099999999999994"/>
  </r>
  <r>
    <x v="1"/>
    <x v="3"/>
    <x v="2"/>
    <x v="296"/>
    <n v="17184388"/>
    <n v="4987"/>
    <x v="185"/>
    <n v="64456"/>
    <n v="849964"/>
    <n v="36981"/>
    <n v="48950"/>
    <n v="660"/>
    <n v="527669"/>
    <n v="475410"/>
    <n v="2019"/>
    <n v="1808853"/>
    <n v="29.51"/>
    <n v="39214091"/>
    <n v="23149336"/>
    <n v="5853452"/>
    <n v="24.69"/>
    <n v="4.9800000000000004"/>
    <n v="564"/>
    <n v="3.84"/>
    <n v="61.71"/>
  </r>
  <r>
    <x v="1"/>
    <x v="2"/>
    <x v="1"/>
    <x v="297"/>
    <n v="48378717"/>
    <n v="16803"/>
    <x v="186"/>
    <n v="12049"/>
    <n v="997140"/>
    <n v="15235"/>
    <n v="35655"/>
    <n v="1301"/>
    <n v="832845"/>
    <n v="390759"/>
    <n v="3319"/>
    <n v="479766"/>
    <n v="11.77"/>
    <n v="20279155"/>
    <n v="36063080"/>
    <n v="21056747"/>
    <n v="97.71"/>
    <n v="3.05"/>
    <n v="1641"/>
    <n v="3.76"/>
    <n v="55.35"/>
  </r>
  <r>
    <x v="3"/>
    <x v="3"/>
    <x v="2"/>
    <x v="298"/>
    <n v="45268534"/>
    <n v="18252"/>
    <x v="138"/>
    <n v="1786"/>
    <n v="320849"/>
    <n v="41757"/>
    <n v="21976"/>
    <n v="1288"/>
    <n v="636648"/>
    <n v="17818"/>
    <n v="2320"/>
    <n v="923879"/>
    <n v="10.87"/>
    <n v="8696241"/>
    <n v="21068700"/>
    <n v="25263380"/>
    <n v="79.66"/>
    <n v="1.03"/>
    <n v="133"/>
    <n v="2.6"/>
    <n v="8.85"/>
  </r>
  <r>
    <x v="1"/>
    <x v="2"/>
    <x v="3"/>
    <x v="299"/>
    <n v="18638519"/>
    <n v="18535"/>
    <x v="3"/>
    <n v="31699"/>
    <n v="545392"/>
    <n v="33547"/>
    <n v="27856"/>
    <n v="8"/>
    <n v="871717"/>
    <n v="278949"/>
    <n v="1646"/>
    <n v="1662887"/>
    <n v="9.56"/>
    <n v="14712728"/>
    <n v="17405054"/>
    <n v="4762152"/>
    <n v="41.3"/>
    <n v="4.38"/>
    <n v="3792"/>
    <n v="4.5199999999999996"/>
    <n v="72.95"/>
  </r>
  <r>
    <x v="3"/>
    <x v="0"/>
    <x v="1"/>
    <x v="300"/>
    <n v="21478981"/>
    <n v="13027"/>
    <x v="149"/>
    <n v="48691"/>
    <n v="387480"/>
    <n v="48119"/>
    <n v="21784"/>
    <n v="456"/>
    <n v="458753"/>
    <n v="349862"/>
    <n v="3909"/>
    <n v="1681045"/>
    <n v="26.84"/>
    <n v="39563471"/>
    <n v="8264197"/>
    <n v="25455224"/>
    <n v="15.13"/>
    <n v="1"/>
    <n v="4943"/>
    <n v="4.55"/>
    <n v="60.2"/>
  </r>
  <r>
    <x v="4"/>
    <x v="4"/>
    <x v="4"/>
    <x v="301"/>
    <n v="8464443"/>
    <n v="19924"/>
    <x v="187"/>
    <n v="38040"/>
    <n v="653192"/>
    <n v="43810"/>
    <n v="4093"/>
    <n v="1818"/>
    <n v="849389"/>
    <n v="62698"/>
    <n v="8015"/>
    <n v="223310"/>
    <n v="14.9"/>
    <n v="32429394"/>
    <n v="17903744"/>
    <n v="24647661"/>
    <n v="78.53"/>
    <n v="5.73"/>
    <n v="2177"/>
    <n v="2.67"/>
    <n v="66.150000000000006"/>
  </r>
  <r>
    <x v="3"/>
    <x v="2"/>
    <x v="3"/>
    <x v="302"/>
    <n v="21944021"/>
    <n v="18213"/>
    <x v="146"/>
    <n v="58986"/>
    <n v="857035"/>
    <n v="19276"/>
    <n v="33523"/>
    <n v="272"/>
    <n v="166915"/>
    <n v="340122"/>
    <n v="3420"/>
    <n v="808032"/>
    <n v="18"/>
    <n v="5707013"/>
    <n v="31564198"/>
    <n v="14160146"/>
    <n v="12.21"/>
    <n v="3.42"/>
    <n v="1651"/>
    <n v="3.08"/>
    <n v="89.88"/>
  </r>
  <r>
    <x v="0"/>
    <x v="3"/>
    <x v="3"/>
    <x v="303"/>
    <n v="35251594"/>
    <n v="7724"/>
    <x v="188"/>
    <n v="39762"/>
    <n v="627787"/>
    <n v="31923"/>
    <n v="8759"/>
    <n v="939"/>
    <n v="456105"/>
    <n v="274483"/>
    <n v="356"/>
    <n v="1838474"/>
    <n v="5.42"/>
    <n v="24978713"/>
    <n v="27036032"/>
    <n v="4308783"/>
    <n v="18.93"/>
    <n v="5.57"/>
    <n v="4667"/>
    <n v="4.9800000000000004"/>
    <n v="78.400000000000006"/>
  </r>
  <r>
    <x v="3"/>
    <x v="0"/>
    <x v="4"/>
    <x v="304"/>
    <n v="35100593"/>
    <n v="17798"/>
    <x v="189"/>
    <n v="24600"/>
    <n v="846457"/>
    <n v="5534"/>
    <n v="30793"/>
    <n v="1836"/>
    <n v="471966"/>
    <n v="308866"/>
    <n v="7485"/>
    <n v="1830213"/>
    <n v="16.23"/>
    <n v="225648"/>
    <n v="39126898"/>
    <n v="11591765"/>
    <n v="21.15"/>
    <n v="1.78"/>
    <n v="1272"/>
    <n v="1.56"/>
    <n v="78.09"/>
  </r>
  <r>
    <x v="1"/>
    <x v="2"/>
    <x v="3"/>
    <x v="305"/>
    <n v="5188482"/>
    <n v="3726"/>
    <x v="190"/>
    <n v="20810"/>
    <n v="752624"/>
    <n v="26469"/>
    <n v="17335"/>
    <n v="1031"/>
    <n v="140228"/>
    <n v="46765"/>
    <n v="3081"/>
    <n v="500344"/>
    <n v="8.24"/>
    <n v="16370790"/>
    <n v="5697767"/>
    <n v="920638"/>
    <n v="55.69"/>
    <n v="9.36"/>
    <n v="4379"/>
    <n v="1.69"/>
    <n v="92.72"/>
  </r>
  <r>
    <x v="0"/>
    <x v="1"/>
    <x v="1"/>
    <x v="306"/>
    <n v="42402454"/>
    <n v="2476"/>
    <x v="191"/>
    <n v="58204"/>
    <n v="819749"/>
    <n v="36074"/>
    <n v="18690"/>
    <n v="207"/>
    <n v="268385"/>
    <n v="294518"/>
    <n v="2280"/>
    <n v="1750033"/>
    <n v="21.92"/>
    <n v="36142711"/>
    <n v="16422892"/>
    <n v="18592147"/>
    <n v="78.709999999999994"/>
    <n v="9"/>
    <n v="1892"/>
    <n v="1"/>
    <n v="98.99"/>
  </r>
  <r>
    <x v="1"/>
    <x v="4"/>
    <x v="2"/>
    <x v="307"/>
    <n v="48965992"/>
    <n v="3012"/>
    <x v="180"/>
    <n v="21085"/>
    <n v="425632"/>
    <n v="35670"/>
    <n v="17333"/>
    <n v="1937"/>
    <n v="148233"/>
    <n v="404735"/>
    <n v="4131"/>
    <n v="897366"/>
    <n v="24.98"/>
    <n v="38352054"/>
    <n v="33529501"/>
    <n v="2664639"/>
    <n v="31.43"/>
    <n v="2.2999999999999998"/>
    <n v="2341"/>
    <n v="4.49"/>
    <n v="58.13"/>
  </r>
  <r>
    <x v="6"/>
    <x v="2"/>
    <x v="3"/>
    <x v="308"/>
    <n v="41038036"/>
    <n v="909"/>
    <x v="149"/>
    <n v="47854"/>
    <n v="174084"/>
    <n v="32563"/>
    <n v="22694"/>
    <n v="1660"/>
    <n v="884023"/>
    <n v="370612"/>
    <n v="5123"/>
    <n v="1627140"/>
    <n v="21.44"/>
    <n v="23132582"/>
    <n v="2637023"/>
    <n v="4795684"/>
    <n v="8.4700000000000006"/>
    <n v="3.76"/>
    <n v="1639"/>
    <n v="3.75"/>
    <n v="10.89"/>
  </r>
  <r>
    <x v="6"/>
    <x v="0"/>
    <x v="1"/>
    <x v="309"/>
    <n v="10668293"/>
    <n v="12098"/>
    <x v="192"/>
    <n v="40779"/>
    <n v="525156"/>
    <n v="46159"/>
    <n v="34503"/>
    <n v="1146"/>
    <n v="815622"/>
    <n v="146175"/>
    <n v="7422"/>
    <n v="1492909"/>
    <n v="21.91"/>
    <n v="45996275"/>
    <n v="26559264"/>
    <n v="17164285"/>
    <n v="46.45"/>
    <n v="6.33"/>
    <n v="2946"/>
    <n v="0.62"/>
    <n v="45.91"/>
  </r>
  <r>
    <x v="0"/>
    <x v="1"/>
    <x v="0"/>
    <x v="310"/>
    <n v="33722265"/>
    <n v="4188"/>
    <x v="193"/>
    <n v="57207"/>
    <n v="893017"/>
    <n v="36486"/>
    <n v="12223"/>
    <n v="1056"/>
    <n v="295477"/>
    <n v="162038"/>
    <n v="2787"/>
    <n v="441187"/>
    <n v="15.37"/>
    <n v="31154957"/>
    <n v="8837039"/>
    <n v="18632337"/>
    <n v="74.81"/>
    <n v="1.41"/>
    <n v="4538"/>
    <n v="4.91"/>
    <n v="78.760000000000005"/>
  </r>
  <r>
    <x v="4"/>
    <x v="0"/>
    <x v="1"/>
    <x v="311"/>
    <n v="38809051"/>
    <n v="2474"/>
    <x v="183"/>
    <n v="34980"/>
    <n v="462261"/>
    <n v="21"/>
    <n v="31841"/>
    <n v="1536"/>
    <n v="627354"/>
    <n v="153160"/>
    <n v="4209"/>
    <n v="270072"/>
    <n v="21.36"/>
    <n v="47503983"/>
    <n v="8787933"/>
    <n v="718954"/>
    <n v="22.17"/>
    <n v="3.87"/>
    <n v="58"/>
    <n v="3.68"/>
    <n v="2.77"/>
  </r>
  <r>
    <x v="6"/>
    <x v="0"/>
    <x v="2"/>
    <x v="312"/>
    <n v="32837259"/>
    <n v="10459"/>
    <x v="194"/>
    <n v="57117"/>
    <n v="677760"/>
    <n v="34268"/>
    <n v="42306"/>
    <n v="203"/>
    <n v="71740"/>
    <n v="449210"/>
    <n v="6540"/>
    <n v="1006520"/>
    <n v="12.68"/>
    <n v="38485384"/>
    <n v="39036597"/>
    <n v="22640486"/>
    <n v="21.99"/>
    <n v="2.89"/>
    <n v="4758"/>
    <n v="4.2699999999999996"/>
    <n v="5.69"/>
  </r>
  <r>
    <x v="3"/>
    <x v="1"/>
    <x v="1"/>
    <x v="313"/>
    <n v="6965377"/>
    <n v="4067"/>
    <x v="195"/>
    <n v="15141"/>
    <n v="311414"/>
    <n v="41802"/>
    <n v="46940"/>
    <n v="517"/>
    <n v="631686"/>
    <n v="370807"/>
    <n v="9389"/>
    <n v="1891317"/>
    <n v="19.54"/>
    <n v="9933326"/>
    <n v="15473155"/>
    <n v="14944877"/>
    <n v="94.72"/>
    <n v="9.1999999999999993"/>
    <n v="764"/>
    <n v="0.34"/>
    <n v="6.72"/>
  </r>
  <r>
    <x v="1"/>
    <x v="0"/>
    <x v="4"/>
    <x v="314"/>
    <n v="40183871"/>
    <n v="10501"/>
    <x v="196"/>
    <n v="10344"/>
    <n v="204141"/>
    <n v="15799"/>
    <n v="27723"/>
    <n v="1832"/>
    <n v="340355"/>
    <n v="221616"/>
    <n v="9470"/>
    <n v="206719"/>
    <n v="7.77"/>
    <n v="17174564"/>
    <n v="9700566"/>
    <n v="27443475"/>
    <n v="95.42"/>
    <n v="8.6"/>
    <n v="1977"/>
    <n v="2.57"/>
    <n v="73.099999999999994"/>
  </r>
  <r>
    <x v="6"/>
    <x v="1"/>
    <x v="2"/>
    <x v="315"/>
    <n v="43116258"/>
    <n v="10328"/>
    <x v="81"/>
    <n v="16896"/>
    <n v="644703"/>
    <n v="26336"/>
    <n v="41631"/>
    <n v="1974"/>
    <n v="209804"/>
    <n v="136846"/>
    <n v="465"/>
    <n v="697248"/>
    <n v="2.09"/>
    <n v="6680753"/>
    <n v="11131318"/>
    <n v="8863441"/>
    <n v="99.05"/>
    <n v="6.01"/>
    <n v="159"/>
    <n v="3.52"/>
    <n v="50.12"/>
  </r>
  <r>
    <x v="6"/>
    <x v="2"/>
    <x v="0"/>
    <x v="316"/>
    <n v="5402059"/>
    <n v="11046"/>
    <x v="71"/>
    <n v="30813"/>
    <n v="444049"/>
    <n v="3641"/>
    <n v="7197"/>
    <n v="516"/>
    <n v="825955"/>
    <n v="201710"/>
    <n v="1487"/>
    <n v="1799961"/>
    <n v="12.4"/>
    <n v="40936062"/>
    <n v="25180888"/>
    <n v="15078997"/>
    <n v="80.77"/>
    <n v="5.44"/>
    <n v="4979"/>
    <n v="2.76"/>
    <n v="36.89"/>
  </r>
  <r>
    <x v="4"/>
    <x v="1"/>
    <x v="4"/>
    <x v="317"/>
    <n v="45104238"/>
    <n v="1184"/>
    <x v="141"/>
    <n v="66679"/>
    <n v="195716"/>
    <n v="21596"/>
    <n v="32810"/>
    <n v="442"/>
    <n v="827141"/>
    <n v="355347"/>
    <n v="4942"/>
    <n v="1748768"/>
    <n v="13.85"/>
    <n v="39284340"/>
    <n v="33193168"/>
    <n v="12398586"/>
    <n v="18.82"/>
    <n v="9.34"/>
    <n v="315"/>
    <n v="3.37"/>
    <n v="10.56"/>
  </r>
  <r>
    <x v="0"/>
    <x v="1"/>
    <x v="1"/>
    <x v="318"/>
    <n v="40662344"/>
    <n v="5169"/>
    <x v="5"/>
    <n v="11681"/>
    <n v="605494"/>
    <n v="32959"/>
    <n v="32593"/>
    <n v="1615"/>
    <n v="356234"/>
    <n v="66546"/>
    <n v="4597"/>
    <n v="117196"/>
    <n v="7.69"/>
    <n v="25664339"/>
    <n v="20583924"/>
    <n v="4110891"/>
    <n v="21.2"/>
    <n v="9.36"/>
    <n v="3273"/>
    <n v="4.1100000000000003"/>
    <n v="73.22"/>
  </r>
  <r>
    <x v="0"/>
    <x v="4"/>
    <x v="2"/>
    <x v="319"/>
    <n v="39628126"/>
    <n v="5744"/>
    <x v="3"/>
    <n v="4228"/>
    <n v="332612"/>
    <n v="13306"/>
    <n v="47671"/>
    <n v="1809"/>
    <n v="873544"/>
    <n v="29172"/>
    <n v="4536"/>
    <n v="1058980"/>
    <n v="21.83"/>
    <n v="18835807"/>
    <n v="33129934"/>
    <n v="23045201"/>
    <n v="34.020000000000003"/>
    <n v="9.7100000000000009"/>
    <n v="1004"/>
    <n v="1.93"/>
    <n v="32.1"/>
  </r>
  <r>
    <x v="5"/>
    <x v="1"/>
    <x v="0"/>
    <x v="320"/>
    <n v="22505782"/>
    <n v="4214"/>
    <x v="197"/>
    <n v="5582"/>
    <n v="191545"/>
    <n v="46182"/>
    <n v="14418"/>
    <n v="688"/>
    <n v="81022"/>
    <n v="33817"/>
    <n v="325"/>
    <n v="1476431"/>
    <n v="2.21"/>
    <n v="20777582"/>
    <n v="25825654"/>
    <n v="23788607"/>
    <n v="31.81"/>
    <n v="1.69"/>
    <n v="1399"/>
    <n v="4.26"/>
    <n v="26.53"/>
  </r>
  <r>
    <x v="4"/>
    <x v="1"/>
    <x v="4"/>
    <x v="321"/>
    <n v="27845255"/>
    <n v="18780"/>
    <x v="84"/>
    <n v="12397"/>
    <n v="964313"/>
    <n v="8587"/>
    <n v="22379"/>
    <n v="849"/>
    <n v="374298"/>
    <n v="218517"/>
    <n v="9957"/>
    <n v="1783054"/>
    <n v="6.68"/>
    <n v="31794324"/>
    <n v="26105331"/>
    <n v="6895481"/>
    <n v="95.65"/>
    <n v="2.0299999999999998"/>
    <n v="1624"/>
    <n v="0.9"/>
    <n v="65.23"/>
  </r>
  <r>
    <x v="3"/>
    <x v="2"/>
    <x v="0"/>
    <x v="322"/>
    <n v="17996623"/>
    <n v="5089"/>
    <x v="124"/>
    <n v="39799"/>
    <n v="432544"/>
    <n v="31359"/>
    <n v="47938"/>
    <n v="832"/>
    <n v="670300"/>
    <n v="157823"/>
    <n v="4162"/>
    <n v="454814"/>
    <n v="22.46"/>
    <n v="33580728"/>
    <n v="38559836"/>
    <n v="27148193"/>
    <n v="78.91"/>
    <n v="6.93"/>
    <n v="2273"/>
    <n v="1.43"/>
    <n v="55.9"/>
  </r>
  <r>
    <x v="0"/>
    <x v="4"/>
    <x v="1"/>
    <x v="323"/>
    <n v="46358810"/>
    <n v="14681"/>
    <x v="118"/>
    <n v="38011"/>
    <n v="431000"/>
    <n v="21498"/>
    <n v="3424"/>
    <n v="338"/>
    <n v="119607"/>
    <n v="379446"/>
    <n v="303"/>
    <n v="1687051"/>
    <n v="13.11"/>
    <n v="39805032"/>
    <n v="25802304"/>
    <n v="13655894"/>
    <n v="72.400000000000006"/>
    <n v="5.64"/>
    <n v="3881"/>
    <n v="0.31"/>
    <n v="36.24"/>
  </r>
  <r>
    <x v="1"/>
    <x v="3"/>
    <x v="0"/>
    <x v="324"/>
    <n v="31957080"/>
    <n v="10492"/>
    <x v="118"/>
    <n v="45264"/>
    <n v="24723"/>
    <n v="4662"/>
    <n v="19520"/>
    <n v="1461"/>
    <n v="401676"/>
    <n v="437607"/>
    <n v="5067"/>
    <n v="897881"/>
    <n v="21.16"/>
    <n v="15877778"/>
    <n v="34961728"/>
    <n v="20438848"/>
    <n v="18.600000000000001"/>
    <n v="0.68"/>
    <n v="3305"/>
    <n v="1.89"/>
    <n v="64.150000000000006"/>
  </r>
  <r>
    <x v="4"/>
    <x v="2"/>
    <x v="3"/>
    <x v="325"/>
    <n v="11069315"/>
    <n v="8302"/>
    <x v="72"/>
    <n v="43317"/>
    <n v="848078"/>
    <n v="37094"/>
    <n v="12130"/>
    <n v="1468"/>
    <n v="22962"/>
    <n v="384633"/>
    <n v="5024"/>
    <n v="1601548"/>
    <n v="17.02"/>
    <n v="44640057"/>
    <n v="16626577"/>
    <n v="227894"/>
    <n v="90.95"/>
    <n v="1.0900000000000001"/>
    <n v="1108"/>
    <n v="1.96"/>
    <n v="27.12"/>
  </r>
  <r>
    <x v="6"/>
    <x v="2"/>
    <x v="4"/>
    <x v="326"/>
    <n v="10589851"/>
    <n v="17771"/>
    <x v="97"/>
    <n v="48914"/>
    <n v="722615"/>
    <n v="41833"/>
    <n v="34321"/>
    <n v="1159"/>
    <n v="804753"/>
    <n v="109625"/>
    <n v="7715"/>
    <n v="1642455"/>
    <n v="28.52"/>
    <n v="27992926"/>
    <n v="5444929"/>
    <n v="1061449"/>
    <n v="82.79"/>
    <n v="8.94"/>
    <n v="2007"/>
    <n v="4.05"/>
    <n v="79.48"/>
  </r>
  <r>
    <x v="1"/>
    <x v="3"/>
    <x v="0"/>
    <x v="327"/>
    <n v="4387008"/>
    <n v="17618"/>
    <x v="198"/>
    <n v="46254"/>
    <n v="525362"/>
    <n v="27197"/>
    <n v="33049"/>
    <n v="386"/>
    <n v="420974"/>
    <n v="456666"/>
    <n v="9632"/>
    <n v="1431541"/>
    <n v="17.93"/>
    <n v="43593077"/>
    <n v="33277744"/>
    <n v="10611572"/>
    <n v="16.36"/>
    <n v="8.75"/>
    <n v="4994"/>
    <n v="3.3"/>
    <n v="22.93"/>
  </r>
  <r>
    <x v="1"/>
    <x v="1"/>
    <x v="1"/>
    <x v="328"/>
    <n v="44255415"/>
    <n v="1601"/>
    <x v="10"/>
    <n v="41096"/>
    <n v="780533"/>
    <n v="20719"/>
    <n v="5305"/>
    <n v="1048"/>
    <n v="93389"/>
    <n v="213192"/>
    <n v="8340"/>
    <n v="734082"/>
    <n v="0.45"/>
    <n v="49347843"/>
    <n v="31462677"/>
    <n v="2965632"/>
    <n v="87.12"/>
    <n v="3.89"/>
    <n v="3197"/>
    <n v="2.2400000000000002"/>
    <n v="15.88"/>
  </r>
  <r>
    <x v="6"/>
    <x v="0"/>
    <x v="1"/>
    <x v="329"/>
    <n v="46070487"/>
    <n v="12675"/>
    <x v="199"/>
    <n v="54785"/>
    <n v="289642"/>
    <n v="24665"/>
    <n v="20470"/>
    <n v="505"/>
    <n v="89452"/>
    <n v="4746"/>
    <n v="2631"/>
    <n v="265826"/>
    <n v="10.59"/>
    <n v="6791466"/>
    <n v="9274965"/>
    <n v="29323519"/>
    <n v="27.22"/>
    <n v="8.9600000000000009"/>
    <n v="2569"/>
    <n v="3.3"/>
    <n v="78.239999999999995"/>
  </r>
  <r>
    <x v="4"/>
    <x v="4"/>
    <x v="0"/>
    <x v="330"/>
    <n v="40779707"/>
    <n v="1679"/>
    <x v="200"/>
    <n v="53344"/>
    <n v="721882"/>
    <n v="43239"/>
    <n v="14973"/>
    <n v="1348"/>
    <n v="718384"/>
    <n v="301957"/>
    <n v="6391"/>
    <n v="1160762"/>
    <n v="4.29"/>
    <n v="16876290"/>
    <n v="34925460"/>
    <n v="27810725"/>
    <n v="8.09"/>
    <n v="6.14"/>
    <n v="3703"/>
    <n v="0.36"/>
    <n v="70.790000000000006"/>
  </r>
  <r>
    <x v="6"/>
    <x v="0"/>
    <x v="1"/>
    <x v="331"/>
    <n v="37670084"/>
    <n v="17960"/>
    <x v="126"/>
    <n v="69546"/>
    <n v="622169"/>
    <n v="25032"/>
    <n v="11590"/>
    <n v="1718"/>
    <n v="415831"/>
    <n v="330180"/>
    <n v="8287"/>
    <n v="768469"/>
    <n v="27.74"/>
    <n v="523136"/>
    <n v="32706654"/>
    <n v="10899686"/>
    <n v="65.680000000000007"/>
    <n v="8.16"/>
    <n v="2620"/>
    <n v="0.98"/>
    <n v="18.260000000000002"/>
  </r>
  <r>
    <x v="5"/>
    <x v="3"/>
    <x v="2"/>
    <x v="332"/>
    <n v="22470950"/>
    <n v="1411"/>
    <x v="76"/>
    <n v="66603"/>
    <n v="414757"/>
    <n v="12641"/>
    <n v="22296"/>
    <n v="679"/>
    <n v="702293"/>
    <n v="175503"/>
    <n v="2369"/>
    <n v="1595696"/>
    <n v="3.12"/>
    <n v="47606251"/>
    <n v="17233651"/>
    <n v="21974512"/>
    <n v="65.38"/>
    <n v="4.5599999999999996"/>
    <n v="2977"/>
    <n v="3.17"/>
    <n v="11.62"/>
  </r>
  <r>
    <x v="1"/>
    <x v="2"/>
    <x v="2"/>
    <x v="333"/>
    <n v="8957411"/>
    <n v="4420"/>
    <x v="69"/>
    <n v="29412"/>
    <n v="571217"/>
    <n v="41964"/>
    <n v="27338"/>
    <n v="1361"/>
    <n v="222076"/>
    <n v="284429"/>
    <n v="528"/>
    <n v="1590861"/>
    <n v="11.63"/>
    <n v="2778550"/>
    <n v="6816874"/>
    <n v="12596360"/>
    <n v="9.49"/>
    <n v="1.58"/>
    <n v="3937"/>
    <n v="3.24"/>
    <n v="83.84"/>
  </r>
  <r>
    <x v="2"/>
    <x v="2"/>
    <x v="2"/>
    <x v="334"/>
    <n v="9637344"/>
    <n v="5333"/>
    <x v="3"/>
    <n v="52658"/>
    <n v="124199"/>
    <n v="30028"/>
    <n v="19103"/>
    <n v="689"/>
    <n v="744181"/>
    <n v="346507"/>
    <n v="4675"/>
    <n v="1346360"/>
    <n v="6.78"/>
    <n v="27823886"/>
    <n v="538359"/>
    <n v="14170974"/>
    <n v="31.89"/>
    <n v="4.62"/>
    <n v="937"/>
    <n v="3.89"/>
    <n v="77.66"/>
  </r>
  <r>
    <x v="2"/>
    <x v="4"/>
    <x v="3"/>
    <x v="335"/>
    <n v="39775054"/>
    <n v="7660"/>
    <x v="89"/>
    <n v="50549"/>
    <n v="232525"/>
    <n v="45494"/>
    <n v="21615"/>
    <n v="884"/>
    <n v="498649"/>
    <n v="229828"/>
    <n v="1663"/>
    <n v="1519674"/>
    <n v="25.4"/>
    <n v="18794580"/>
    <n v="27635360"/>
    <n v="11083206"/>
    <n v="99.28"/>
    <n v="4.84"/>
    <n v="794"/>
    <n v="2.0699999999999998"/>
    <n v="32.729999999999997"/>
  </r>
  <r>
    <x v="3"/>
    <x v="2"/>
    <x v="0"/>
    <x v="336"/>
    <n v="42688444"/>
    <n v="10608"/>
    <x v="201"/>
    <n v="12549"/>
    <n v="289172"/>
    <n v="15651"/>
    <n v="45375"/>
    <n v="1118"/>
    <n v="866296"/>
    <n v="52207"/>
    <n v="3364"/>
    <n v="1090067"/>
    <n v="9.26"/>
    <n v="49424045"/>
    <n v="13109318"/>
    <n v="8888208"/>
    <n v="67.84"/>
    <n v="5.73"/>
    <n v="3564"/>
    <n v="3.64"/>
    <n v="65.819999999999993"/>
  </r>
  <r>
    <x v="0"/>
    <x v="2"/>
    <x v="3"/>
    <x v="337"/>
    <n v="7433705"/>
    <n v="14974"/>
    <x v="202"/>
    <n v="26739"/>
    <n v="30545"/>
    <n v="8536"/>
    <n v="44823"/>
    <n v="1568"/>
    <n v="857009"/>
    <n v="244965"/>
    <n v="2341"/>
    <n v="1112619"/>
    <n v="29.76"/>
    <n v="44883001"/>
    <n v="33161879"/>
    <n v="11995490"/>
    <n v="73.010000000000005"/>
    <n v="1.5"/>
    <n v="2980"/>
    <n v="3.45"/>
    <n v="12.42"/>
  </r>
  <r>
    <x v="6"/>
    <x v="4"/>
    <x v="1"/>
    <x v="338"/>
    <n v="22822619"/>
    <n v="14889"/>
    <x v="146"/>
    <n v="22209"/>
    <n v="604857"/>
    <n v="45712"/>
    <n v="46381"/>
    <n v="622"/>
    <n v="303288"/>
    <n v="459870"/>
    <n v="6656"/>
    <n v="899607"/>
    <n v="1.1599999999999999"/>
    <n v="21054430"/>
    <n v="36762568"/>
    <n v="26134127"/>
    <n v="21.29"/>
    <n v="9.92"/>
    <n v="2729"/>
    <n v="4.82"/>
    <n v="50.7"/>
  </r>
  <r>
    <x v="6"/>
    <x v="4"/>
    <x v="3"/>
    <x v="339"/>
    <n v="17294513"/>
    <n v="11999"/>
    <x v="87"/>
    <n v="16116"/>
    <n v="32673"/>
    <n v="6273"/>
    <n v="42715"/>
    <n v="1169"/>
    <n v="325287"/>
    <n v="279807"/>
    <n v="4905"/>
    <n v="1178144"/>
    <n v="3.85"/>
    <n v="26395334"/>
    <n v="32062839"/>
    <n v="27233764"/>
    <n v="7.88"/>
    <n v="2.82"/>
    <n v="225"/>
    <n v="1.1499999999999999"/>
    <n v="1.87"/>
  </r>
  <r>
    <x v="3"/>
    <x v="3"/>
    <x v="1"/>
    <x v="340"/>
    <n v="29320898"/>
    <n v="10676"/>
    <x v="61"/>
    <n v="21045"/>
    <n v="425190"/>
    <n v="6284"/>
    <n v="47608"/>
    <n v="892"/>
    <n v="275955"/>
    <n v="70829"/>
    <n v="8884"/>
    <n v="1425970"/>
    <n v="6.74"/>
    <n v="23449808"/>
    <n v="24934767"/>
    <n v="28536627"/>
    <n v="27.69"/>
    <n v="2.39"/>
    <n v="615"/>
    <n v="2.8"/>
    <n v="39.159999999999997"/>
  </r>
  <r>
    <x v="3"/>
    <x v="2"/>
    <x v="1"/>
    <x v="341"/>
    <n v="47205646"/>
    <n v="2043"/>
    <x v="170"/>
    <n v="27327"/>
    <n v="453115"/>
    <n v="25692"/>
    <n v="6732"/>
    <n v="952"/>
    <n v="254584"/>
    <n v="277945"/>
    <n v="9143"/>
    <n v="1646589"/>
    <n v="24.33"/>
    <n v="38262007"/>
    <n v="14768178"/>
    <n v="6989823"/>
    <n v="24.89"/>
    <n v="5.5"/>
    <n v="3267"/>
    <n v="3.05"/>
    <n v="7.48"/>
  </r>
  <r>
    <x v="3"/>
    <x v="2"/>
    <x v="4"/>
    <x v="342"/>
    <n v="40064766"/>
    <n v="919"/>
    <x v="124"/>
    <n v="36709"/>
    <n v="417313"/>
    <n v="8817"/>
    <n v="40979"/>
    <n v="1254"/>
    <n v="129966"/>
    <n v="200244"/>
    <n v="5950"/>
    <n v="129131"/>
    <n v="26.36"/>
    <n v="29865170"/>
    <n v="23590030"/>
    <n v="12648382"/>
    <n v="23.45"/>
    <n v="5.6"/>
    <n v="4407"/>
    <n v="4.99"/>
    <n v="47.51"/>
  </r>
  <r>
    <x v="1"/>
    <x v="3"/>
    <x v="2"/>
    <x v="343"/>
    <n v="45469434"/>
    <n v="1064"/>
    <x v="203"/>
    <n v="44617"/>
    <n v="889943"/>
    <n v="28955"/>
    <n v="36922"/>
    <n v="783"/>
    <n v="31031"/>
    <n v="441533"/>
    <n v="1360"/>
    <n v="1095096"/>
    <n v="2.14"/>
    <n v="23232550"/>
    <n v="21841395"/>
    <n v="1593603"/>
    <n v="19.28"/>
    <n v="4.68"/>
    <n v="4676"/>
    <n v="1.0900000000000001"/>
    <n v="42.17"/>
  </r>
  <r>
    <x v="5"/>
    <x v="1"/>
    <x v="1"/>
    <x v="344"/>
    <n v="15012253"/>
    <n v="10153"/>
    <x v="204"/>
    <n v="61139"/>
    <n v="356288"/>
    <n v="26555"/>
    <n v="38384"/>
    <n v="1871"/>
    <n v="15088"/>
    <n v="437926"/>
    <n v="5127"/>
    <n v="326063"/>
    <n v="0.97"/>
    <n v="23741691"/>
    <n v="5882843"/>
    <n v="24987734"/>
    <n v="57.48"/>
    <n v="7.83"/>
    <n v="1444"/>
    <n v="2.66"/>
    <n v="44.44"/>
  </r>
  <r>
    <x v="6"/>
    <x v="1"/>
    <x v="4"/>
    <x v="345"/>
    <n v="10115754"/>
    <n v="17036"/>
    <x v="63"/>
    <n v="27905"/>
    <n v="327968"/>
    <n v="20378"/>
    <n v="6776"/>
    <n v="494"/>
    <n v="836348"/>
    <n v="215594"/>
    <n v="5562"/>
    <n v="635157"/>
    <n v="22.34"/>
    <n v="1031810"/>
    <n v="17759423"/>
    <n v="18146122"/>
    <n v="32.81"/>
    <n v="5.41"/>
    <n v="1270"/>
    <n v="1.8"/>
    <n v="4.53"/>
  </r>
  <r>
    <x v="1"/>
    <x v="1"/>
    <x v="2"/>
    <x v="346"/>
    <n v="32754832"/>
    <n v="12063"/>
    <x v="205"/>
    <n v="65148"/>
    <n v="24525"/>
    <n v="41182"/>
    <n v="49892"/>
    <n v="1061"/>
    <n v="143952"/>
    <n v="495439"/>
    <n v="8730"/>
    <n v="589730"/>
    <n v="4"/>
    <n v="47085346"/>
    <n v="14024437"/>
    <n v="2123699"/>
    <n v="82.03"/>
    <n v="6.29"/>
    <n v="997"/>
    <n v="2.68"/>
    <n v="36.159999999999997"/>
  </r>
  <r>
    <x v="3"/>
    <x v="3"/>
    <x v="1"/>
    <x v="347"/>
    <n v="23029829"/>
    <n v="740"/>
    <x v="123"/>
    <n v="43919"/>
    <n v="583092"/>
    <n v="17127"/>
    <n v="15938"/>
    <n v="1448"/>
    <n v="698505"/>
    <n v="252715"/>
    <n v="9011"/>
    <n v="1834889"/>
    <n v="3.99"/>
    <n v="11997945"/>
    <n v="20098669"/>
    <n v="1920831"/>
    <n v="18.39"/>
    <n v="7.38"/>
    <n v="634"/>
    <n v="1.24"/>
    <n v="75.650000000000006"/>
  </r>
  <r>
    <x v="6"/>
    <x v="2"/>
    <x v="1"/>
    <x v="348"/>
    <n v="15057759"/>
    <n v="16923"/>
    <x v="206"/>
    <n v="59446"/>
    <n v="147115"/>
    <n v="49614"/>
    <n v="21284"/>
    <n v="1670"/>
    <n v="411534"/>
    <n v="443447"/>
    <n v="5777"/>
    <n v="1202418"/>
    <n v="0.67"/>
    <n v="28065720"/>
    <n v="23946730"/>
    <n v="15835527"/>
    <n v="46.46"/>
    <n v="0.74"/>
    <n v="2912"/>
    <n v="0.33"/>
    <n v="36.89"/>
  </r>
  <r>
    <x v="1"/>
    <x v="3"/>
    <x v="3"/>
    <x v="349"/>
    <n v="22914241"/>
    <n v="10798"/>
    <x v="207"/>
    <n v="53428"/>
    <n v="567134"/>
    <n v="17952"/>
    <n v="34426"/>
    <n v="1869"/>
    <n v="162429"/>
    <n v="128431"/>
    <n v="3925"/>
    <n v="368390"/>
    <n v="1.49"/>
    <n v="44828060"/>
    <n v="17556089"/>
    <n v="19581159"/>
    <n v="1.37"/>
    <n v="5.92"/>
    <n v="1670"/>
    <n v="2.91"/>
    <n v="71.52"/>
  </r>
  <r>
    <x v="5"/>
    <x v="3"/>
    <x v="3"/>
    <x v="350"/>
    <n v="9504471"/>
    <n v="8074"/>
    <x v="74"/>
    <n v="48894"/>
    <n v="78261"/>
    <n v="11539"/>
    <n v="20622"/>
    <n v="746"/>
    <n v="546499"/>
    <n v="160582"/>
    <n v="8463"/>
    <n v="1752434"/>
    <n v="7.91"/>
    <n v="47999921"/>
    <n v="17243764"/>
    <n v="17720196"/>
    <n v="48.17"/>
    <n v="8.9"/>
    <n v="3405"/>
    <n v="1.75"/>
    <n v="36.950000000000003"/>
  </r>
  <r>
    <x v="1"/>
    <x v="1"/>
    <x v="2"/>
    <x v="351"/>
    <n v="16223723"/>
    <n v="16728"/>
    <x v="4"/>
    <n v="7447"/>
    <n v="758600"/>
    <n v="46761"/>
    <n v="34908"/>
    <n v="436"/>
    <n v="660957"/>
    <n v="99380"/>
    <n v="8001"/>
    <n v="1421407"/>
    <n v="1.95"/>
    <n v="40297917"/>
    <n v="4518633"/>
    <n v="23802443"/>
    <n v="5.58"/>
    <n v="0.67"/>
    <n v="2399"/>
    <n v="0.99"/>
    <n v="42.32"/>
  </r>
  <r>
    <x v="5"/>
    <x v="0"/>
    <x v="1"/>
    <x v="352"/>
    <n v="4265056"/>
    <n v="5538"/>
    <x v="19"/>
    <n v="6499"/>
    <n v="501827"/>
    <n v="46219"/>
    <n v="47170"/>
    <n v="1854"/>
    <n v="684253"/>
    <n v="189887"/>
    <n v="1028"/>
    <n v="523485"/>
    <n v="11.07"/>
    <n v="34195507"/>
    <n v="28783081"/>
    <n v="17574334"/>
    <n v="97.77"/>
    <n v="4.3499999999999996"/>
    <n v="3241"/>
    <n v="1.69"/>
    <n v="56.39"/>
  </r>
  <r>
    <x v="3"/>
    <x v="2"/>
    <x v="0"/>
    <x v="353"/>
    <n v="49931582"/>
    <n v="11085"/>
    <x v="208"/>
    <n v="40041"/>
    <n v="968731"/>
    <n v="14692"/>
    <n v="29057"/>
    <n v="1391"/>
    <n v="809008"/>
    <n v="38765"/>
    <n v="6018"/>
    <n v="648735"/>
    <n v="24.98"/>
    <n v="37314933"/>
    <n v="27566658"/>
    <n v="12731520"/>
    <n v="79.06"/>
    <n v="9.3000000000000007"/>
    <n v="3257"/>
    <n v="0.34"/>
    <n v="95.07"/>
  </r>
  <r>
    <x v="5"/>
    <x v="1"/>
    <x v="3"/>
    <x v="354"/>
    <n v="3825315"/>
    <n v="19346"/>
    <x v="209"/>
    <n v="32315"/>
    <n v="185100"/>
    <n v="18120"/>
    <n v="43366"/>
    <n v="344"/>
    <n v="346918"/>
    <n v="278201"/>
    <n v="1242"/>
    <n v="1635341"/>
    <n v="9.7899999999999991"/>
    <n v="47887266"/>
    <n v="2596057"/>
    <n v="22316302"/>
    <n v="49.01"/>
    <n v="3.85"/>
    <n v="2626"/>
    <n v="4.76"/>
    <n v="10.89"/>
  </r>
  <r>
    <x v="6"/>
    <x v="0"/>
    <x v="2"/>
    <x v="355"/>
    <n v="48215952"/>
    <n v="18307"/>
    <x v="210"/>
    <n v="2299"/>
    <n v="955887"/>
    <n v="13334"/>
    <n v="37144"/>
    <n v="1183"/>
    <n v="320253"/>
    <n v="441443"/>
    <n v="9333"/>
    <n v="525532"/>
    <n v="21.84"/>
    <n v="6999993"/>
    <n v="28746000"/>
    <n v="27049048"/>
    <n v="8.66"/>
    <n v="4.8600000000000003"/>
    <n v="581"/>
    <n v="2.95"/>
    <n v="3.29"/>
  </r>
  <r>
    <x v="3"/>
    <x v="0"/>
    <x v="1"/>
    <x v="356"/>
    <n v="14567121"/>
    <n v="12905"/>
    <x v="114"/>
    <n v="5994"/>
    <n v="816915"/>
    <n v="28615"/>
    <n v="1516"/>
    <n v="549"/>
    <n v="685177"/>
    <n v="456905"/>
    <n v="8784"/>
    <n v="951292"/>
    <n v="2.82"/>
    <n v="3143197"/>
    <n v="23302929"/>
    <n v="25059793"/>
    <n v="59.24"/>
    <n v="9.82"/>
    <n v="1281"/>
    <n v="4.09"/>
    <n v="60.8"/>
  </r>
  <r>
    <x v="6"/>
    <x v="4"/>
    <x v="1"/>
    <x v="357"/>
    <n v="5717092"/>
    <n v="19692"/>
    <x v="157"/>
    <n v="8489"/>
    <n v="8265"/>
    <n v="7903"/>
    <n v="15232"/>
    <n v="1685"/>
    <n v="498481"/>
    <n v="308252"/>
    <n v="7119"/>
    <n v="1013845"/>
    <n v="19.78"/>
    <n v="32908377"/>
    <n v="38850418"/>
    <n v="7633829"/>
    <n v="75.88"/>
    <n v="2.39"/>
    <n v="2043"/>
    <n v="2.17"/>
    <n v="94.91"/>
  </r>
  <r>
    <x v="2"/>
    <x v="2"/>
    <x v="0"/>
    <x v="358"/>
    <n v="42319037"/>
    <n v="2867"/>
    <x v="79"/>
    <n v="33355"/>
    <n v="810195"/>
    <n v="28527"/>
    <n v="12373"/>
    <n v="1935"/>
    <n v="58980"/>
    <n v="324164"/>
    <n v="9797"/>
    <n v="1915461"/>
    <n v="9.5"/>
    <n v="16809862"/>
    <n v="8240786"/>
    <n v="20468905"/>
    <n v="19.07"/>
    <n v="1.1200000000000001"/>
    <n v="1747"/>
    <n v="4.53"/>
    <n v="98.97"/>
  </r>
  <r>
    <x v="4"/>
    <x v="0"/>
    <x v="2"/>
    <x v="359"/>
    <n v="37875319"/>
    <n v="4508"/>
    <x v="111"/>
    <n v="69367"/>
    <n v="207724"/>
    <n v="15629"/>
    <n v="19623"/>
    <n v="819"/>
    <n v="793976"/>
    <n v="259385"/>
    <n v="4210"/>
    <n v="451953"/>
    <n v="22.49"/>
    <n v="23582788"/>
    <n v="5324107"/>
    <n v="10627199"/>
    <n v="56.82"/>
    <n v="8.66"/>
    <n v="3420"/>
    <n v="2.4700000000000002"/>
    <n v="48.42"/>
  </r>
  <r>
    <x v="5"/>
    <x v="1"/>
    <x v="1"/>
    <x v="360"/>
    <n v="23929562"/>
    <n v="5357"/>
    <x v="153"/>
    <n v="2996"/>
    <n v="16733"/>
    <n v="17740"/>
    <n v="44573"/>
    <n v="540"/>
    <n v="775097"/>
    <n v="164047"/>
    <n v="6406"/>
    <n v="1227137"/>
    <n v="4.09"/>
    <n v="43246833"/>
    <n v="34000727"/>
    <n v="11553965"/>
    <n v="81.42"/>
    <n v="8.75"/>
    <n v="1595"/>
    <n v="2.91"/>
    <n v="46.81"/>
  </r>
  <r>
    <x v="4"/>
    <x v="4"/>
    <x v="3"/>
    <x v="361"/>
    <n v="3346274"/>
    <n v="8983"/>
    <x v="77"/>
    <n v="45387"/>
    <n v="899628"/>
    <n v="33782"/>
    <n v="30638"/>
    <n v="143"/>
    <n v="55986"/>
    <n v="113928"/>
    <n v="3377"/>
    <n v="915394"/>
    <n v="26.94"/>
    <n v="32284142"/>
    <n v="11166148"/>
    <n v="9033652"/>
    <n v="76.819999999999993"/>
    <n v="4.9800000000000004"/>
    <n v="3215"/>
    <n v="2.5099999999999998"/>
    <n v="64.5"/>
  </r>
  <r>
    <x v="4"/>
    <x v="2"/>
    <x v="0"/>
    <x v="362"/>
    <n v="47282538"/>
    <n v="18475"/>
    <x v="211"/>
    <n v="4089"/>
    <n v="616326"/>
    <n v="26708"/>
    <n v="42636"/>
    <n v="587"/>
    <n v="55662"/>
    <n v="386096"/>
    <n v="4071"/>
    <n v="858735"/>
    <n v="7.28"/>
    <n v="42327422"/>
    <n v="28877975"/>
    <n v="24753177"/>
    <n v="80.3"/>
    <n v="5.38"/>
    <n v="1487"/>
    <n v="3.69"/>
    <n v="55.56"/>
  </r>
  <r>
    <x v="5"/>
    <x v="3"/>
    <x v="2"/>
    <x v="363"/>
    <n v="46838604"/>
    <n v="17113"/>
    <x v="175"/>
    <n v="21659"/>
    <n v="300564"/>
    <n v="10860"/>
    <n v="45394"/>
    <n v="656"/>
    <n v="735147"/>
    <n v="132798"/>
    <n v="1440"/>
    <n v="1340110"/>
    <n v="10.59"/>
    <n v="34147379"/>
    <n v="3229198"/>
    <n v="5200444"/>
    <n v="87.93"/>
    <n v="8.44"/>
    <n v="420"/>
    <n v="2.88"/>
    <n v="63.41"/>
  </r>
  <r>
    <x v="3"/>
    <x v="1"/>
    <x v="0"/>
    <x v="364"/>
    <n v="40042531"/>
    <n v="10709"/>
    <x v="102"/>
    <n v="46178"/>
    <n v="665607"/>
    <n v="17438"/>
    <n v="4146"/>
    <n v="1764"/>
    <n v="30382"/>
    <n v="90915"/>
    <n v="3626"/>
    <n v="535535"/>
    <n v="28.51"/>
    <n v="29999757"/>
    <n v="33313198"/>
    <n v="4659710"/>
    <n v="93.77"/>
    <n v="7.52"/>
    <n v="4554"/>
    <n v="1.43"/>
    <n v="87.4"/>
  </r>
  <r>
    <x v="2"/>
    <x v="0"/>
    <x v="3"/>
    <x v="365"/>
    <n v="24346553"/>
    <n v="5788"/>
    <x v="175"/>
    <n v="35565"/>
    <n v="942344"/>
    <n v="1764"/>
    <n v="46256"/>
    <n v="1599"/>
    <n v="578866"/>
    <n v="194994"/>
    <n v="184"/>
    <n v="1249699"/>
    <n v="17.350000000000001"/>
    <n v="15802876"/>
    <n v="2865530"/>
    <n v="10772967"/>
    <n v="40.549999999999997"/>
    <n v="3.02"/>
    <n v="666"/>
    <n v="0.81"/>
    <n v="74.63"/>
  </r>
  <r>
    <x v="6"/>
    <x v="0"/>
    <x v="2"/>
    <x v="366"/>
    <n v="33768890"/>
    <n v="5718"/>
    <x v="102"/>
    <n v="23884"/>
    <n v="459365"/>
    <n v="6009"/>
    <n v="11171"/>
    <n v="1882"/>
    <n v="845666"/>
    <n v="465081"/>
    <n v="4996"/>
    <n v="1764655"/>
    <n v="10.97"/>
    <n v="13707555"/>
    <n v="17871742"/>
    <n v="28593018"/>
    <n v="56.88"/>
    <n v="0.66"/>
    <n v="4216"/>
    <n v="3.07"/>
    <n v="49.69"/>
  </r>
  <r>
    <x v="1"/>
    <x v="1"/>
    <x v="0"/>
    <x v="367"/>
    <n v="25149133"/>
    <n v="14477"/>
    <x v="193"/>
    <n v="18199"/>
    <n v="22058"/>
    <n v="20842"/>
    <n v="35467"/>
    <n v="344"/>
    <n v="239180"/>
    <n v="203585"/>
    <n v="8412"/>
    <n v="1477470"/>
    <n v="28.49"/>
    <n v="42626138"/>
    <n v="20634027"/>
    <n v="4934210"/>
    <n v="79.069999999999993"/>
    <n v="5.0599999999999996"/>
    <n v="4064"/>
    <n v="2.5"/>
    <n v="46.19"/>
  </r>
  <r>
    <x v="6"/>
    <x v="0"/>
    <x v="4"/>
    <x v="368"/>
    <n v="16659082"/>
    <n v="7747"/>
    <x v="148"/>
    <n v="61038"/>
    <n v="247301"/>
    <n v="42372"/>
    <n v="23584"/>
    <n v="1292"/>
    <n v="633518"/>
    <n v="164814"/>
    <n v="8031"/>
    <n v="1041673"/>
    <n v="9.8699999999999992"/>
    <n v="29370007"/>
    <n v="35929953"/>
    <n v="4703157"/>
    <n v="69.709999999999994"/>
    <n v="8.66"/>
    <n v="4229"/>
    <n v="0.56999999999999995"/>
    <n v="63.96"/>
  </r>
  <r>
    <x v="1"/>
    <x v="4"/>
    <x v="3"/>
    <x v="369"/>
    <n v="34431226"/>
    <n v="16496"/>
    <x v="108"/>
    <n v="58786"/>
    <n v="298073"/>
    <n v="48780"/>
    <n v="26912"/>
    <n v="1863"/>
    <n v="175398"/>
    <n v="300555"/>
    <n v="5563"/>
    <n v="482018"/>
    <n v="2.85"/>
    <n v="17413788"/>
    <n v="21976147"/>
    <n v="13771801"/>
    <n v="99.55"/>
    <n v="9.01"/>
    <n v="2306"/>
    <n v="2.04"/>
    <n v="45.57"/>
  </r>
  <r>
    <x v="6"/>
    <x v="2"/>
    <x v="3"/>
    <x v="370"/>
    <n v="16713225"/>
    <n v="7879"/>
    <x v="120"/>
    <n v="50294"/>
    <n v="163434"/>
    <n v="33435"/>
    <n v="2820"/>
    <n v="695"/>
    <n v="350629"/>
    <n v="32456"/>
    <n v="3188"/>
    <n v="1256934"/>
    <n v="29.91"/>
    <n v="35830580"/>
    <n v="23904296"/>
    <n v="17200210"/>
    <n v="1.37"/>
    <n v="9.58"/>
    <n v="4404"/>
    <n v="2.62"/>
    <n v="45.78"/>
  </r>
  <r>
    <x v="5"/>
    <x v="4"/>
    <x v="3"/>
    <x v="371"/>
    <n v="21155666"/>
    <n v="10801"/>
    <x v="175"/>
    <n v="35178"/>
    <n v="611777"/>
    <n v="3370"/>
    <n v="11673"/>
    <n v="1796"/>
    <n v="306672"/>
    <n v="266053"/>
    <n v="9285"/>
    <n v="817015"/>
    <n v="8.0399999999999991"/>
    <n v="39232876"/>
    <n v="4274015"/>
    <n v="3510251"/>
    <n v="35.51"/>
    <n v="8.86"/>
    <n v="3360"/>
    <n v="4.1500000000000004"/>
    <n v="1.63"/>
  </r>
  <r>
    <x v="2"/>
    <x v="0"/>
    <x v="4"/>
    <x v="372"/>
    <n v="33687633"/>
    <n v="13500"/>
    <x v="81"/>
    <n v="13665"/>
    <n v="609952"/>
    <n v="38744"/>
    <n v="6162"/>
    <n v="267"/>
    <n v="513371"/>
    <n v="436687"/>
    <n v="2945"/>
    <n v="517456"/>
    <n v="25.54"/>
    <n v="35997845"/>
    <n v="2238275"/>
    <n v="8139115"/>
    <n v="28.1"/>
    <n v="6.01"/>
    <n v="981"/>
    <n v="0.47"/>
    <n v="17.41"/>
  </r>
  <r>
    <x v="1"/>
    <x v="3"/>
    <x v="4"/>
    <x v="373"/>
    <n v="3533349"/>
    <n v="7402"/>
    <x v="212"/>
    <n v="1534"/>
    <n v="703716"/>
    <n v="20454"/>
    <n v="22"/>
    <n v="168"/>
    <n v="623726"/>
    <n v="297119"/>
    <n v="6765"/>
    <n v="1188724"/>
    <n v="4.97"/>
    <n v="34508615"/>
    <n v="3925300"/>
    <n v="4875630"/>
    <n v="26.23"/>
    <n v="4.72"/>
    <n v="2379"/>
    <n v="1.81"/>
    <n v="48.85"/>
  </r>
  <r>
    <x v="0"/>
    <x v="2"/>
    <x v="1"/>
    <x v="374"/>
    <n v="27187290"/>
    <n v="13566"/>
    <x v="213"/>
    <n v="37132"/>
    <n v="78597"/>
    <n v="41381"/>
    <n v="11172"/>
    <n v="1794"/>
    <n v="643107"/>
    <n v="241221"/>
    <n v="2474"/>
    <n v="936510"/>
    <n v="21.94"/>
    <n v="46347534"/>
    <n v="6557049"/>
    <n v="9184315"/>
    <n v="22.25"/>
    <n v="7.86"/>
    <n v="443"/>
    <n v="4.13"/>
    <n v="82.27"/>
  </r>
  <r>
    <x v="3"/>
    <x v="2"/>
    <x v="0"/>
    <x v="375"/>
    <n v="28146076"/>
    <n v="8376"/>
    <x v="148"/>
    <n v="37110"/>
    <n v="793473"/>
    <n v="38367"/>
    <n v="22332"/>
    <n v="1762"/>
    <n v="557331"/>
    <n v="271709"/>
    <n v="6787"/>
    <n v="1195699"/>
    <n v="15.73"/>
    <n v="38277823"/>
    <n v="21930119"/>
    <n v="5288486"/>
    <n v="70.91"/>
    <n v="7.53"/>
    <n v="2515"/>
    <n v="3.28"/>
    <n v="27.87"/>
  </r>
  <r>
    <x v="6"/>
    <x v="1"/>
    <x v="1"/>
    <x v="376"/>
    <n v="23684270"/>
    <n v="3694"/>
    <x v="214"/>
    <n v="59754"/>
    <n v="79209"/>
    <n v="3650"/>
    <n v="8009"/>
    <n v="32"/>
    <n v="649067"/>
    <n v="197267"/>
    <n v="8792"/>
    <n v="398530"/>
    <n v="29.43"/>
    <n v="483843"/>
    <n v="32872213"/>
    <n v="16778874"/>
    <n v="8.48"/>
    <n v="5.61"/>
    <n v="3327"/>
    <n v="1.52"/>
    <n v="52.26"/>
  </r>
  <r>
    <x v="6"/>
    <x v="1"/>
    <x v="0"/>
    <x v="377"/>
    <n v="15430164"/>
    <n v="8053"/>
    <x v="172"/>
    <n v="64580"/>
    <n v="783397"/>
    <n v="45117"/>
    <n v="7229"/>
    <n v="376"/>
    <n v="29862"/>
    <n v="336088"/>
    <n v="9352"/>
    <n v="553958"/>
    <n v="16.579999999999998"/>
    <n v="749130"/>
    <n v="33501289"/>
    <n v="2322723"/>
    <n v="74.16"/>
    <n v="1.33"/>
    <n v="1979"/>
    <n v="4.24"/>
    <n v="34.5"/>
  </r>
  <r>
    <x v="1"/>
    <x v="3"/>
    <x v="4"/>
    <x v="378"/>
    <n v="34837309"/>
    <n v="3328"/>
    <x v="215"/>
    <n v="23469"/>
    <n v="980458"/>
    <n v="25708"/>
    <n v="5338"/>
    <n v="1237"/>
    <n v="421031"/>
    <n v="196422"/>
    <n v="4599"/>
    <n v="1543549"/>
    <n v="0.75"/>
    <n v="44951337"/>
    <n v="20607494"/>
    <n v="9844648"/>
    <n v="69.34"/>
    <n v="9.3000000000000007"/>
    <n v="675"/>
    <n v="2.52"/>
    <n v="10.48"/>
  </r>
  <r>
    <x v="3"/>
    <x v="2"/>
    <x v="4"/>
    <x v="379"/>
    <n v="22180041"/>
    <n v="7346"/>
    <x v="96"/>
    <n v="65016"/>
    <n v="193941"/>
    <n v="42662"/>
    <n v="3631"/>
    <n v="1585"/>
    <n v="159318"/>
    <n v="349133"/>
    <n v="6274"/>
    <n v="986055"/>
    <n v="18.12"/>
    <n v="24630512"/>
    <n v="32081813"/>
    <n v="16146293"/>
    <n v="25.08"/>
    <n v="4.83"/>
    <n v="4707"/>
    <n v="2.54"/>
    <n v="95.83"/>
  </r>
  <r>
    <x v="3"/>
    <x v="3"/>
    <x v="1"/>
    <x v="380"/>
    <n v="41122564"/>
    <n v="3124"/>
    <x v="70"/>
    <n v="47233"/>
    <n v="677419"/>
    <n v="3190"/>
    <n v="24266"/>
    <n v="1463"/>
    <n v="403773"/>
    <n v="15350"/>
    <n v="4313"/>
    <n v="1960928"/>
    <n v="4.3600000000000003"/>
    <n v="32883013"/>
    <n v="5924381"/>
    <n v="7489305"/>
    <n v="25.28"/>
    <n v="3.95"/>
    <n v="2929"/>
    <n v="4.8899999999999997"/>
    <n v="85.47"/>
  </r>
  <r>
    <x v="5"/>
    <x v="1"/>
    <x v="2"/>
    <x v="381"/>
    <n v="32090521"/>
    <n v="13311"/>
    <x v="216"/>
    <n v="67708"/>
    <n v="625152"/>
    <n v="48113"/>
    <n v="44443"/>
    <n v="1515"/>
    <n v="243221"/>
    <n v="46123"/>
    <n v="2218"/>
    <n v="1059812"/>
    <n v="23.96"/>
    <n v="3439540"/>
    <n v="233597"/>
    <n v="29925566"/>
    <n v="62.89"/>
    <n v="6.48"/>
    <n v="3216"/>
    <n v="4.74"/>
    <n v="7.85"/>
  </r>
  <r>
    <x v="0"/>
    <x v="1"/>
    <x v="1"/>
    <x v="382"/>
    <n v="29551004"/>
    <n v="11223"/>
    <x v="217"/>
    <n v="59232"/>
    <n v="963226"/>
    <n v="8789"/>
    <n v="11324"/>
    <n v="392"/>
    <n v="829847"/>
    <n v="101450"/>
    <n v="1152"/>
    <n v="36568"/>
    <n v="25.7"/>
    <n v="43126799"/>
    <n v="38115727"/>
    <n v="23839180"/>
    <n v="76.22"/>
    <n v="6.9"/>
    <n v="3472"/>
    <n v="1.86"/>
    <n v="71.98"/>
  </r>
  <r>
    <x v="5"/>
    <x v="2"/>
    <x v="0"/>
    <x v="383"/>
    <n v="47839044"/>
    <n v="8362"/>
    <x v="218"/>
    <n v="35409"/>
    <n v="149620"/>
    <n v="32125"/>
    <n v="662"/>
    <n v="488"/>
    <n v="838302"/>
    <n v="177796"/>
    <n v="56"/>
    <n v="1681191"/>
    <n v="14.46"/>
    <n v="18243694"/>
    <n v="37668374"/>
    <n v="29318947"/>
    <n v="87.65"/>
    <n v="2.5"/>
    <n v="2159"/>
    <n v="0.79"/>
    <n v="34.76"/>
  </r>
  <r>
    <x v="5"/>
    <x v="4"/>
    <x v="1"/>
    <x v="384"/>
    <n v="12499401"/>
    <n v="1687"/>
    <x v="219"/>
    <n v="20324"/>
    <n v="409294"/>
    <n v="33159"/>
    <n v="16192"/>
    <n v="721"/>
    <n v="690017"/>
    <n v="16527"/>
    <n v="9396"/>
    <n v="256745"/>
    <n v="23.5"/>
    <n v="35855207"/>
    <n v="2897596"/>
    <n v="18627223"/>
    <n v="85.21"/>
    <n v="8.4499999999999993"/>
    <n v="1215"/>
    <n v="1.7"/>
    <n v="99.48"/>
  </r>
  <r>
    <x v="5"/>
    <x v="0"/>
    <x v="3"/>
    <x v="385"/>
    <n v="6799492"/>
    <n v="13702"/>
    <x v="77"/>
    <n v="9738"/>
    <n v="399635"/>
    <n v="17459"/>
    <n v="41590"/>
    <n v="945"/>
    <n v="374019"/>
    <n v="426592"/>
    <n v="143"/>
    <n v="373332"/>
    <n v="4.3499999999999996"/>
    <n v="24976072"/>
    <n v="31361097"/>
    <n v="22271871"/>
    <n v="96.49"/>
    <n v="3.25"/>
    <n v="2831"/>
    <n v="0.25"/>
    <n v="30.24"/>
  </r>
  <r>
    <x v="5"/>
    <x v="1"/>
    <x v="0"/>
    <x v="386"/>
    <n v="23076162"/>
    <n v="5153"/>
    <x v="161"/>
    <n v="25054"/>
    <n v="167562"/>
    <n v="35418"/>
    <n v="36568"/>
    <n v="1052"/>
    <n v="142894"/>
    <n v="333887"/>
    <n v="7218"/>
    <n v="486119"/>
    <n v="14.76"/>
    <n v="33982842"/>
    <n v="35668996"/>
    <n v="25434344"/>
    <n v="58.14"/>
    <n v="2.27"/>
    <n v="1941"/>
    <n v="0.2"/>
    <n v="23.87"/>
  </r>
  <r>
    <x v="5"/>
    <x v="1"/>
    <x v="0"/>
    <x v="387"/>
    <n v="28965797"/>
    <n v="17078"/>
    <x v="220"/>
    <n v="30709"/>
    <n v="208158"/>
    <n v="46368"/>
    <n v="15669"/>
    <n v="38"/>
    <n v="594600"/>
    <n v="210184"/>
    <n v="8559"/>
    <n v="279496"/>
    <n v="11.82"/>
    <n v="37632161"/>
    <n v="3110806"/>
    <n v="9751001"/>
    <n v="90.87"/>
    <n v="4.3600000000000003"/>
    <n v="3232"/>
    <n v="2.04"/>
    <n v="56.79"/>
  </r>
  <r>
    <x v="2"/>
    <x v="4"/>
    <x v="2"/>
    <x v="388"/>
    <n v="39983075"/>
    <n v="2082"/>
    <x v="24"/>
    <n v="1363"/>
    <n v="640446"/>
    <n v="47085"/>
    <n v="34423"/>
    <n v="1882"/>
    <n v="471558"/>
    <n v="134611"/>
    <n v="9674"/>
    <n v="1699585"/>
    <n v="18.34"/>
    <n v="774426"/>
    <n v="5615054"/>
    <n v="28052884"/>
    <n v="80.849999999999994"/>
    <n v="7.44"/>
    <n v="1689"/>
    <n v="4.71"/>
    <n v="83.51"/>
  </r>
  <r>
    <x v="3"/>
    <x v="4"/>
    <x v="4"/>
    <x v="389"/>
    <n v="45524017"/>
    <n v="2811"/>
    <x v="221"/>
    <n v="11358"/>
    <n v="977264"/>
    <n v="18768"/>
    <n v="10445"/>
    <n v="1635"/>
    <n v="820949"/>
    <n v="479164"/>
    <n v="6361"/>
    <n v="260291"/>
    <n v="1.33"/>
    <n v="10932492"/>
    <n v="14442577"/>
    <n v="2604878"/>
    <n v="89.47"/>
    <n v="9.67"/>
    <n v="831"/>
    <n v="4.37"/>
    <n v="19.25"/>
  </r>
  <r>
    <x v="5"/>
    <x v="3"/>
    <x v="0"/>
    <x v="390"/>
    <n v="43779132"/>
    <n v="15245"/>
    <x v="222"/>
    <n v="4240"/>
    <n v="948841"/>
    <n v="49961"/>
    <n v="28077"/>
    <n v="1196"/>
    <n v="843724"/>
    <n v="218503"/>
    <n v="615"/>
    <n v="439866"/>
    <n v="22.56"/>
    <n v="2738659"/>
    <n v="2575326"/>
    <n v="7169157"/>
    <n v="1.1599999999999999"/>
    <n v="8.19"/>
    <n v="4742"/>
    <n v="2.61"/>
    <n v="70.94"/>
  </r>
  <r>
    <x v="3"/>
    <x v="3"/>
    <x v="4"/>
    <x v="391"/>
    <n v="31232364"/>
    <n v="18502"/>
    <x v="37"/>
    <n v="46689"/>
    <n v="2468"/>
    <n v="15563"/>
    <n v="22268"/>
    <n v="1040"/>
    <n v="228708"/>
    <n v="78772"/>
    <n v="8062"/>
    <n v="404562"/>
    <n v="2.37"/>
    <n v="31939226"/>
    <n v="35221781"/>
    <n v="24850602"/>
    <n v="96.59"/>
    <n v="9.43"/>
    <n v="2106"/>
    <n v="2.87"/>
    <n v="6.14"/>
  </r>
  <r>
    <x v="3"/>
    <x v="0"/>
    <x v="1"/>
    <x v="392"/>
    <n v="34904782"/>
    <n v="16675"/>
    <x v="80"/>
    <n v="2936"/>
    <n v="287453"/>
    <n v="27885"/>
    <n v="28297"/>
    <n v="1079"/>
    <n v="391842"/>
    <n v="473019"/>
    <n v="5977"/>
    <n v="681516"/>
    <n v="19.690000000000001"/>
    <n v="46705736"/>
    <n v="39693127"/>
    <n v="28243358"/>
    <n v="47.35"/>
    <n v="1.84"/>
    <n v="2373"/>
    <n v="0.13"/>
    <n v="91.89"/>
  </r>
  <r>
    <x v="4"/>
    <x v="0"/>
    <x v="3"/>
    <x v="393"/>
    <n v="47569821"/>
    <n v="2718"/>
    <x v="98"/>
    <n v="44965"/>
    <n v="984848"/>
    <n v="21885"/>
    <n v="3698"/>
    <n v="225"/>
    <n v="804561"/>
    <n v="17400"/>
    <n v="9780"/>
    <n v="56904"/>
    <n v="0.55000000000000004"/>
    <n v="33035460"/>
    <n v="3589974"/>
    <n v="2719771"/>
    <n v="79.819999999999993"/>
    <n v="1.18"/>
    <n v="2324"/>
    <n v="1.1599999999999999"/>
    <n v="8.11"/>
  </r>
  <r>
    <x v="2"/>
    <x v="2"/>
    <x v="2"/>
    <x v="394"/>
    <n v="45648268"/>
    <n v="14688"/>
    <x v="152"/>
    <n v="1882"/>
    <n v="73255"/>
    <n v="6895"/>
    <n v="7699"/>
    <n v="1581"/>
    <n v="653402"/>
    <n v="322533"/>
    <n v="6984"/>
    <n v="1981115"/>
    <n v="24.96"/>
    <n v="1086706"/>
    <n v="24643143"/>
    <n v="28725383"/>
    <n v="12.72"/>
    <n v="5.8"/>
    <n v="2283"/>
    <n v="0.22"/>
    <n v="91.42"/>
  </r>
  <r>
    <x v="5"/>
    <x v="3"/>
    <x v="4"/>
    <x v="395"/>
    <n v="9056255"/>
    <n v="16004"/>
    <x v="223"/>
    <n v="21224"/>
    <n v="783366"/>
    <n v="23958"/>
    <n v="1389"/>
    <n v="66"/>
    <n v="97450"/>
    <n v="410498"/>
    <n v="8890"/>
    <n v="909573"/>
    <n v="5.24"/>
    <n v="46600789"/>
    <n v="37899331"/>
    <n v="11021212"/>
    <n v="39.590000000000003"/>
    <n v="3.26"/>
    <n v="2688"/>
    <n v="3.8"/>
    <n v="49.08"/>
  </r>
  <r>
    <x v="6"/>
    <x v="1"/>
    <x v="0"/>
    <x v="396"/>
    <n v="34489909"/>
    <n v="17236"/>
    <x v="182"/>
    <n v="31825"/>
    <n v="869331"/>
    <n v="1531"/>
    <n v="37021"/>
    <n v="1220"/>
    <n v="175442"/>
    <n v="463823"/>
    <n v="4971"/>
    <n v="279252"/>
    <n v="15.46"/>
    <n v="15049502"/>
    <n v="29932863"/>
    <n v="13408660"/>
    <n v="27.15"/>
    <n v="8.3699999999999992"/>
    <n v="3337"/>
    <n v="0.81"/>
    <n v="44.81"/>
  </r>
  <r>
    <x v="1"/>
    <x v="3"/>
    <x v="4"/>
    <x v="397"/>
    <n v="44126563"/>
    <n v="12406"/>
    <x v="72"/>
    <n v="29885"/>
    <n v="554006"/>
    <n v="5481"/>
    <n v="43015"/>
    <n v="1677"/>
    <n v="65329"/>
    <n v="444228"/>
    <n v="5781"/>
    <n v="523247"/>
    <n v="7.84"/>
    <n v="9204994"/>
    <n v="10535517"/>
    <n v="22744016"/>
    <n v="29.17"/>
    <n v="6.88"/>
    <n v="2530"/>
    <n v="4.3600000000000003"/>
    <n v="97.33"/>
  </r>
  <r>
    <x v="0"/>
    <x v="1"/>
    <x v="0"/>
    <x v="398"/>
    <n v="49286500"/>
    <n v="245"/>
    <x v="149"/>
    <n v="41056"/>
    <n v="226409"/>
    <n v="23932"/>
    <n v="27634"/>
    <n v="834"/>
    <n v="770390"/>
    <n v="420225"/>
    <n v="944"/>
    <n v="790285"/>
    <n v="21.68"/>
    <n v="41270045"/>
    <n v="784402"/>
    <n v="26375031"/>
    <n v="12.33"/>
    <n v="9.7200000000000006"/>
    <n v="2666"/>
    <n v="3.25"/>
    <n v="99.04"/>
  </r>
  <r>
    <x v="6"/>
    <x v="4"/>
    <x v="4"/>
    <x v="399"/>
    <n v="39706376"/>
    <n v="2237"/>
    <x v="224"/>
    <n v="4203"/>
    <n v="240967"/>
    <n v="21360"/>
    <n v="25974"/>
    <n v="1046"/>
    <n v="535376"/>
    <n v="19759"/>
    <n v="9114"/>
    <n v="347300"/>
    <n v="9.64"/>
    <n v="46027924"/>
    <n v="13881983"/>
    <n v="12908024"/>
    <n v="80.58"/>
    <n v="2.92"/>
    <n v="405"/>
    <n v="1.22"/>
    <n v="65.02"/>
  </r>
  <r>
    <x v="2"/>
    <x v="3"/>
    <x v="0"/>
    <x v="400"/>
    <n v="29862480"/>
    <n v="11757"/>
    <x v="50"/>
    <n v="61241"/>
    <n v="694201"/>
    <n v="43642"/>
    <n v="22901"/>
    <n v="998"/>
    <n v="892212"/>
    <n v="162575"/>
    <n v="7078"/>
    <n v="267320"/>
    <n v="21.74"/>
    <n v="44185442"/>
    <n v="24972881"/>
    <n v="5907287"/>
    <n v="0.92"/>
    <n v="5.1100000000000003"/>
    <n v="4537"/>
    <n v="0.87"/>
    <n v="12.71"/>
  </r>
  <r>
    <x v="1"/>
    <x v="4"/>
    <x v="1"/>
    <x v="401"/>
    <n v="4827308"/>
    <n v="2380"/>
    <x v="225"/>
    <n v="3244"/>
    <n v="992052"/>
    <n v="24829"/>
    <n v="49108"/>
    <n v="1629"/>
    <n v="496695"/>
    <n v="245359"/>
    <n v="1746"/>
    <n v="625747"/>
    <n v="8.5500000000000007"/>
    <n v="19806623"/>
    <n v="30621620"/>
    <n v="29798329"/>
    <n v="31.25"/>
    <n v="5.26"/>
    <n v="4724"/>
    <n v="3.18"/>
    <n v="50.62"/>
  </r>
  <r>
    <x v="2"/>
    <x v="0"/>
    <x v="0"/>
    <x v="402"/>
    <n v="45403073"/>
    <n v="3656"/>
    <x v="125"/>
    <n v="69619"/>
    <n v="739925"/>
    <n v="19932"/>
    <n v="38389"/>
    <n v="1777"/>
    <n v="303365"/>
    <n v="426902"/>
    <n v="5783"/>
    <n v="1468712"/>
    <n v="22.57"/>
    <n v="12517801"/>
    <n v="9377500"/>
    <n v="22223291"/>
    <n v="17.440000000000001"/>
    <n v="2.77"/>
    <n v="3396"/>
    <n v="4.51"/>
    <n v="52.92"/>
  </r>
  <r>
    <x v="3"/>
    <x v="0"/>
    <x v="0"/>
    <x v="403"/>
    <n v="24229530"/>
    <n v="110"/>
    <x v="226"/>
    <n v="22584"/>
    <n v="965164"/>
    <n v="38931"/>
    <n v="12526"/>
    <n v="236"/>
    <n v="693005"/>
    <n v="10460"/>
    <n v="9751"/>
    <n v="1235498"/>
    <n v="0.92"/>
    <n v="14552036"/>
    <n v="15471958"/>
    <n v="29235633"/>
    <n v="58.9"/>
    <n v="6.11"/>
    <n v="3572"/>
    <n v="3.62"/>
    <n v="51.44"/>
  </r>
  <r>
    <x v="1"/>
    <x v="2"/>
    <x v="3"/>
    <x v="404"/>
    <n v="45271670"/>
    <n v="14437"/>
    <x v="119"/>
    <n v="9521"/>
    <n v="369697"/>
    <n v="38032"/>
    <n v="13896"/>
    <n v="956"/>
    <n v="273243"/>
    <n v="283668"/>
    <n v="6907"/>
    <n v="1187477"/>
    <n v="8.5"/>
    <n v="8976061"/>
    <n v="5405747"/>
    <n v="22496483"/>
    <n v="25.43"/>
    <n v="4.71"/>
    <n v="2517"/>
    <n v="1.81"/>
    <n v="56.95"/>
  </r>
  <r>
    <x v="3"/>
    <x v="3"/>
    <x v="0"/>
    <x v="405"/>
    <n v="13133010"/>
    <n v="3977"/>
    <x v="216"/>
    <n v="51017"/>
    <n v="837713"/>
    <n v="15890"/>
    <n v="20317"/>
    <n v="918"/>
    <n v="335238"/>
    <n v="98135"/>
    <n v="9275"/>
    <n v="124225"/>
    <n v="14.96"/>
    <n v="4599000"/>
    <n v="15405230"/>
    <n v="26718716"/>
    <n v="25.9"/>
    <n v="4.74"/>
    <n v="213"/>
    <n v="2.98"/>
    <n v="1.87"/>
  </r>
  <r>
    <x v="6"/>
    <x v="4"/>
    <x v="3"/>
    <x v="406"/>
    <n v="23942985"/>
    <n v="6346"/>
    <x v="103"/>
    <n v="34541"/>
    <n v="376595"/>
    <n v="18807"/>
    <n v="24853"/>
    <n v="1946"/>
    <n v="476458"/>
    <n v="48891"/>
    <n v="8625"/>
    <n v="494406"/>
    <n v="1.35"/>
    <n v="12255135"/>
    <n v="31767889"/>
    <n v="1707806"/>
    <n v="48.83"/>
    <n v="3.95"/>
    <n v="3684"/>
    <n v="1.62"/>
    <n v="71.12"/>
  </r>
  <r>
    <x v="6"/>
    <x v="1"/>
    <x v="2"/>
    <x v="407"/>
    <n v="40593087"/>
    <n v="13672"/>
    <x v="21"/>
    <n v="30063"/>
    <n v="248113"/>
    <n v="11767"/>
    <n v="46494"/>
    <n v="1589"/>
    <n v="733290"/>
    <n v="396381"/>
    <n v="2926"/>
    <n v="1809711"/>
    <n v="5.58"/>
    <n v="40282978"/>
    <n v="14770091"/>
    <n v="11044142"/>
    <n v="65.27"/>
    <n v="0.66"/>
    <n v="4783"/>
    <n v="5"/>
    <n v="71.239999999999995"/>
  </r>
  <r>
    <x v="1"/>
    <x v="0"/>
    <x v="3"/>
    <x v="408"/>
    <n v="25791884"/>
    <n v="14175"/>
    <x v="172"/>
    <n v="65952"/>
    <n v="788199"/>
    <n v="8071"/>
    <n v="5922"/>
    <n v="1161"/>
    <n v="658799"/>
    <n v="199967"/>
    <n v="1089"/>
    <n v="222738"/>
    <n v="28.04"/>
    <n v="19465431"/>
    <n v="27313504"/>
    <n v="19191841"/>
    <n v="12.13"/>
    <n v="5.46"/>
    <n v="3713"/>
    <n v="3.77"/>
    <n v="11.55"/>
  </r>
  <r>
    <x v="1"/>
    <x v="0"/>
    <x v="1"/>
    <x v="409"/>
    <n v="31096658"/>
    <n v="2641"/>
    <x v="145"/>
    <n v="40563"/>
    <n v="398111"/>
    <n v="26149"/>
    <n v="21524"/>
    <n v="472"/>
    <n v="253356"/>
    <n v="274544"/>
    <n v="2957"/>
    <n v="905890"/>
    <n v="29.31"/>
    <n v="29759910"/>
    <n v="4242546"/>
    <n v="20587521"/>
    <n v="17.55"/>
    <n v="3.68"/>
    <n v="3304"/>
    <n v="3.11"/>
    <n v="57.02"/>
  </r>
  <r>
    <x v="5"/>
    <x v="1"/>
    <x v="3"/>
    <x v="410"/>
    <n v="23245849"/>
    <n v="12177"/>
    <x v="41"/>
    <n v="40752"/>
    <n v="583314"/>
    <n v="15540"/>
    <n v="21833"/>
    <n v="1868"/>
    <n v="284793"/>
    <n v="33470"/>
    <n v="2612"/>
    <n v="1684757"/>
    <n v="22.19"/>
    <n v="38096191"/>
    <n v="11649024"/>
    <n v="22004073"/>
    <n v="24.72"/>
    <n v="0.51"/>
    <n v="3431"/>
    <n v="2.17"/>
    <n v="56.84"/>
  </r>
  <r>
    <x v="2"/>
    <x v="4"/>
    <x v="2"/>
    <x v="411"/>
    <n v="46767888"/>
    <n v="15798"/>
    <x v="171"/>
    <n v="3567"/>
    <n v="905574"/>
    <n v="35676"/>
    <n v="28807"/>
    <n v="1807"/>
    <n v="722427"/>
    <n v="201003"/>
    <n v="6047"/>
    <n v="861359"/>
    <n v="7.57"/>
    <n v="43487349"/>
    <n v="3637310"/>
    <n v="22365378"/>
    <n v="97.37"/>
    <n v="3.43"/>
    <n v="2114"/>
    <n v="3.13"/>
    <n v="68.25"/>
  </r>
  <r>
    <x v="5"/>
    <x v="4"/>
    <x v="1"/>
    <x v="412"/>
    <n v="32481908"/>
    <n v="6171"/>
    <x v="145"/>
    <n v="17121"/>
    <n v="568256"/>
    <n v="4712"/>
    <n v="6459"/>
    <n v="552"/>
    <n v="141780"/>
    <n v="27309"/>
    <n v="6249"/>
    <n v="479076"/>
    <n v="7.82"/>
    <n v="26791837"/>
    <n v="11011831"/>
    <n v="14746205"/>
    <n v="39.72"/>
    <n v="3.15"/>
    <n v="4315"/>
    <n v="1.77"/>
    <n v="8.5399999999999991"/>
  </r>
  <r>
    <x v="2"/>
    <x v="3"/>
    <x v="4"/>
    <x v="413"/>
    <n v="24175262"/>
    <n v="1250"/>
    <x v="62"/>
    <n v="2674"/>
    <n v="696457"/>
    <n v="26201"/>
    <n v="1735"/>
    <n v="1633"/>
    <n v="197670"/>
    <n v="495147"/>
    <n v="3759"/>
    <n v="1954186"/>
    <n v="19.37"/>
    <n v="33426366"/>
    <n v="2125542"/>
    <n v="14833479"/>
    <n v="59.9"/>
    <n v="4.24"/>
    <n v="4034"/>
    <n v="0.24"/>
    <n v="62.65"/>
  </r>
  <r>
    <x v="5"/>
    <x v="3"/>
    <x v="4"/>
    <x v="414"/>
    <n v="20354315"/>
    <n v="15771"/>
    <x v="177"/>
    <n v="67275"/>
    <n v="409548"/>
    <n v="44958"/>
    <n v="15880"/>
    <n v="694"/>
    <n v="371678"/>
    <n v="283171"/>
    <n v="7718"/>
    <n v="243726"/>
    <n v="3.53"/>
    <n v="49617777"/>
    <n v="22683873"/>
    <n v="20629126"/>
    <n v="24.15"/>
    <n v="1.75"/>
    <n v="3937"/>
    <n v="2.04"/>
    <n v="28.08"/>
  </r>
  <r>
    <x v="3"/>
    <x v="2"/>
    <x v="3"/>
    <x v="415"/>
    <n v="3344180"/>
    <n v="19288"/>
    <x v="207"/>
    <n v="68081"/>
    <n v="146693"/>
    <n v="19899"/>
    <n v="9314"/>
    <n v="1663"/>
    <n v="181064"/>
    <n v="34679"/>
    <n v="4263"/>
    <n v="1352387"/>
    <n v="28.45"/>
    <n v="21063719"/>
    <n v="19456844"/>
    <n v="16230649"/>
    <n v="49.05"/>
    <n v="5.32"/>
    <n v="389"/>
    <n v="4.66"/>
    <n v="50.7"/>
  </r>
  <r>
    <x v="1"/>
    <x v="0"/>
    <x v="3"/>
    <x v="416"/>
    <n v="11510186"/>
    <n v="11137"/>
    <x v="187"/>
    <n v="30140"/>
    <n v="602158"/>
    <n v="19787"/>
    <n v="7532"/>
    <n v="1252"/>
    <n v="21451"/>
    <n v="271276"/>
    <n v="1902"/>
    <n v="722202"/>
    <n v="6.74"/>
    <n v="28476576"/>
    <n v="14953080"/>
    <n v="24045714"/>
    <n v="7.41"/>
    <n v="7.08"/>
    <n v="4871"/>
    <n v="3.17"/>
    <n v="77.33"/>
  </r>
  <r>
    <x v="6"/>
    <x v="3"/>
    <x v="2"/>
    <x v="417"/>
    <n v="47030918"/>
    <n v="7022"/>
    <x v="161"/>
    <n v="10327"/>
    <n v="543462"/>
    <n v="20982"/>
    <n v="13673"/>
    <n v="316"/>
    <n v="180492"/>
    <n v="93354"/>
    <n v="2567"/>
    <n v="1478635"/>
    <n v="29.99"/>
    <n v="36203198"/>
    <n v="26832919"/>
    <n v="20348249"/>
    <n v="3.47"/>
    <n v="6.49"/>
    <n v="3831"/>
    <n v="0.51"/>
    <n v="70.56"/>
  </r>
  <r>
    <x v="2"/>
    <x v="4"/>
    <x v="2"/>
    <x v="418"/>
    <n v="15648530"/>
    <n v="186"/>
    <x v="195"/>
    <n v="24331"/>
    <n v="911789"/>
    <n v="22606"/>
    <n v="4794"/>
    <n v="597"/>
    <n v="571554"/>
    <n v="340657"/>
    <n v="8075"/>
    <n v="707168"/>
    <n v="14.87"/>
    <n v="32360984"/>
    <n v="9092054"/>
    <n v="28131726"/>
    <n v="46.87"/>
    <n v="8.14"/>
    <n v="3640"/>
    <n v="4.4400000000000004"/>
    <n v="11.89"/>
  </r>
  <r>
    <x v="2"/>
    <x v="1"/>
    <x v="0"/>
    <x v="419"/>
    <n v="39120544"/>
    <n v="17463"/>
    <x v="227"/>
    <n v="24004"/>
    <n v="886621"/>
    <n v="10150"/>
    <n v="9482"/>
    <n v="767"/>
    <n v="843946"/>
    <n v="434047"/>
    <n v="2994"/>
    <n v="1473335"/>
    <n v="23.14"/>
    <n v="11565475"/>
    <n v="33785792"/>
    <n v="161101"/>
    <n v="39.869999999999997"/>
    <n v="4.79"/>
    <n v="1983"/>
    <n v="1.42"/>
    <n v="59.12"/>
  </r>
  <r>
    <x v="6"/>
    <x v="4"/>
    <x v="2"/>
    <x v="420"/>
    <n v="10561403"/>
    <n v="15396"/>
    <x v="118"/>
    <n v="11492"/>
    <n v="565790"/>
    <n v="20393"/>
    <n v="28962"/>
    <n v="1744"/>
    <n v="159923"/>
    <n v="113628"/>
    <n v="5229"/>
    <n v="466996"/>
    <n v="7.0000000000000007E-2"/>
    <n v="42660503"/>
    <n v="24342688"/>
    <n v="2700463"/>
    <n v="13.69"/>
    <n v="5.43"/>
    <n v="1695"/>
    <n v="1.29"/>
    <n v="96.91"/>
  </r>
  <r>
    <x v="5"/>
    <x v="0"/>
    <x v="0"/>
    <x v="421"/>
    <n v="21371102"/>
    <n v="19028"/>
    <x v="228"/>
    <n v="55797"/>
    <n v="299818"/>
    <n v="37259"/>
    <n v="10065"/>
    <n v="1750"/>
    <n v="477932"/>
    <n v="223374"/>
    <n v="2010"/>
    <n v="1056187"/>
    <n v="26.66"/>
    <n v="13088862"/>
    <n v="22930686"/>
    <n v="14076028"/>
    <n v="68.760000000000005"/>
    <n v="8.1999999999999993"/>
    <n v="4278"/>
    <n v="1.56"/>
    <n v="15.68"/>
  </r>
  <r>
    <x v="2"/>
    <x v="4"/>
    <x v="1"/>
    <x v="422"/>
    <n v="28605186"/>
    <n v="711"/>
    <x v="32"/>
    <n v="59095"/>
    <n v="562548"/>
    <n v="46687"/>
    <n v="29518"/>
    <n v="885"/>
    <n v="443102"/>
    <n v="447083"/>
    <n v="7377"/>
    <n v="1399962"/>
    <n v="8.1"/>
    <n v="34794937"/>
    <n v="19617905"/>
    <n v="17615610"/>
    <n v="99.29"/>
    <n v="4.5599999999999996"/>
    <n v="2737"/>
    <n v="2.93"/>
    <n v="85.29"/>
  </r>
  <r>
    <x v="0"/>
    <x v="2"/>
    <x v="3"/>
    <x v="423"/>
    <n v="43005100"/>
    <n v="2522"/>
    <x v="229"/>
    <n v="14749"/>
    <n v="961002"/>
    <n v="46936"/>
    <n v="12686"/>
    <n v="1635"/>
    <n v="611910"/>
    <n v="386160"/>
    <n v="830"/>
    <n v="1920620"/>
    <n v="20.04"/>
    <n v="26550182"/>
    <n v="37358811"/>
    <n v="28686733"/>
    <n v="39.56"/>
    <n v="7.17"/>
    <n v="4968"/>
    <n v="2.77"/>
    <n v="70.25"/>
  </r>
  <r>
    <x v="3"/>
    <x v="0"/>
    <x v="1"/>
    <x v="424"/>
    <n v="5801358"/>
    <n v="136"/>
    <x v="230"/>
    <n v="64217"/>
    <n v="723969"/>
    <n v="27750"/>
    <n v="25202"/>
    <n v="560"/>
    <n v="796240"/>
    <n v="238392"/>
    <n v="48"/>
    <n v="1882910"/>
    <n v="24.19"/>
    <n v="45069869"/>
    <n v="24322404"/>
    <n v="22631985"/>
    <n v="62.46"/>
    <n v="4.63"/>
    <n v="2176"/>
    <n v="2.5099999999999998"/>
    <n v="77.400000000000006"/>
  </r>
  <r>
    <x v="1"/>
    <x v="1"/>
    <x v="2"/>
    <x v="425"/>
    <n v="18783361"/>
    <n v="10754"/>
    <x v="231"/>
    <n v="10045"/>
    <n v="705824"/>
    <n v="8593"/>
    <n v="24732"/>
    <n v="1224"/>
    <n v="846184"/>
    <n v="334546"/>
    <n v="4210"/>
    <n v="772812"/>
    <n v="4.92"/>
    <n v="38083532"/>
    <n v="7452840"/>
    <n v="469596"/>
    <n v="96.3"/>
    <n v="4.47"/>
    <n v="4491"/>
    <n v="3.62"/>
    <n v="28.2"/>
  </r>
  <r>
    <x v="6"/>
    <x v="2"/>
    <x v="1"/>
    <x v="426"/>
    <n v="19925418"/>
    <n v="6269"/>
    <x v="232"/>
    <n v="21116"/>
    <n v="597093"/>
    <n v="17358"/>
    <n v="7456"/>
    <n v="1971"/>
    <n v="468861"/>
    <n v="181126"/>
    <n v="1178"/>
    <n v="1344763"/>
    <n v="13.28"/>
    <n v="22557321"/>
    <n v="21081611"/>
    <n v="1133435"/>
    <n v="83.15"/>
    <n v="7.72"/>
    <n v="4754"/>
    <n v="1.65"/>
    <n v="28.79"/>
  </r>
  <r>
    <x v="1"/>
    <x v="0"/>
    <x v="1"/>
    <x v="427"/>
    <n v="18470147"/>
    <n v="16372"/>
    <x v="233"/>
    <n v="19667"/>
    <n v="196991"/>
    <n v="16607"/>
    <n v="4735"/>
    <n v="257"/>
    <n v="83711"/>
    <n v="248442"/>
    <n v="5768"/>
    <n v="137343"/>
    <n v="14.82"/>
    <n v="45346774"/>
    <n v="28148680"/>
    <n v="11580293"/>
    <n v="46.36"/>
    <n v="2.16"/>
    <n v="688"/>
    <n v="3.93"/>
    <n v="90.6"/>
  </r>
  <r>
    <x v="0"/>
    <x v="1"/>
    <x v="1"/>
    <x v="428"/>
    <n v="48405202"/>
    <n v="14799"/>
    <x v="234"/>
    <n v="28302"/>
    <n v="784924"/>
    <n v="37381"/>
    <n v="20071"/>
    <n v="1503"/>
    <n v="421780"/>
    <n v="219537"/>
    <n v="7878"/>
    <n v="860299"/>
    <n v="9.36"/>
    <n v="49051089"/>
    <n v="9506954"/>
    <n v="12403632"/>
    <n v="73.75"/>
    <n v="3.72"/>
    <n v="1274"/>
    <n v="0.96"/>
    <n v="35.979999999999997"/>
  </r>
  <r>
    <x v="2"/>
    <x v="2"/>
    <x v="2"/>
    <x v="429"/>
    <n v="5389084"/>
    <n v="7018"/>
    <x v="221"/>
    <n v="12283"/>
    <n v="186541"/>
    <n v="24811"/>
    <n v="47547"/>
    <n v="1911"/>
    <n v="447595"/>
    <n v="348001"/>
    <n v="70"/>
    <n v="340233"/>
    <n v="14.45"/>
    <n v="5116191"/>
    <n v="30384274"/>
    <n v="4058518"/>
    <n v="12.81"/>
    <n v="2.63"/>
    <n v="3755"/>
    <n v="3.93"/>
    <n v="6.3"/>
  </r>
  <r>
    <x v="2"/>
    <x v="2"/>
    <x v="1"/>
    <x v="430"/>
    <n v="41187888"/>
    <n v="19207"/>
    <x v="235"/>
    <n v="31935"/>
    <n v="18194"/>
    <n v="28074"/>
    <n v="22681"/>
    <n v="1201"/>
    <n v="127034"/>
    <n v="418418"/>
    <n v="7686"/>
    <n v="846177"/>
    <n v="9.5299999999999994"/>
    <n v="47009632"/>
    <n v="11508917"/>
    <n v="21801691"/>
    <n v="51.21"/>
    <n v="3.91"/>
    <n v="3960"/>
    <n v="3.35"/>
    <n v="60.06"/>
  </r>
  <r>
    <x v="0"/>
    <x v="0"/>
    <x v="0"/>
    <x v="431"/>
    <n v="1371522"/>
    <n v="13646"/>
    <x v="86"/>
    <n v="32624"/>
    <n v="683171"/>
    <n v="20595"/>
    <n v="1419"/>
    <n v="756"/>
    <n v="533508"/>
    <n v="427749"/>
    <n v="7879"/>
    <n v="1539668"/>
    <n v="10.82"/>
    <n v="24177167"/>
    <n v="799800"/>
    <n v="12883789"/>
    <n v="27.91"/>
    <n v="2.69"/>
    <n v="4295"/>
    <n v="3.45"/>
    <n v="12.48"/>
  </r>
  <r>
    <x v="6"/>
    <x v="3"/>
    <x v="2"/>
    <x v="432"/>
    <n v="23326747"/>
    <n v="1750"/>
    <x v="52"/>
    <n v="14440"/>
    <n v="859809"/>
    <n v="44194"/>
    <n v="8215"/>
    <n v="122"/>
    <n v="388848"/>
    <n v="278176"/>
    <n v="5455"/>
    <n v="980581"/>
    <n v="20.079999999999998"/>
    <n v="30372881"/>
    <n v="8174433"/>
    <n v="19444045"/>
    <n v="16.12"/>
    <n v="6"/>
    <n v="1599"/>
    <n v="2.46"/>
    <n v="79.66"/>
  </r>
  <r>
    <x v="3"/>
    <x v="2"/>
    <x v="1"/>
    <x v="433"/>
    <n v="16023665"/>
    <n v="2750"/>
    <x v="121"/>
    <n v="47501"/>
    <n v="656152"/>
    <n v="49377"/>
    <n v="16375"/>
    <n v="341"/>
    <n v="436656"/>
    <n v="287958"/>
    <n v="8258"/>
    <n v="1239767"/>
    <n v="18.98"/>
    <n v="1392775"/>
    <n v="25214662"/>
    <n v="29520915"/>
    <n v="42.63"/>
    <n v="8.08"/>
    <n v="4195"/>
    <n v="3.37"/>
    <n v="64.17"/>
  </r>
  <r>
    <x v="4"/>
    <x v="2"/>
    <x v="2"/>
    <x v="434"/>
    <n v="30038040"/>
    <n v="11871"/>
    <x v="25"/>
    <n v="2269"/>
    <n v="519953"/>
    <n v="26853"/>
    <n v="266"/>
    <n v="1194"/>
    <n v="604781"/>
    <n v="57903"/>
    <n v="5612"/>
    <n v="1716509"/>
    <n v="6.97"/>
    <n v="19335145"/>
    <n v="36283059"/>
    <n v="24811724"/>
    <n v="13.1"/>
    <n v="7.97"/>
    <n v="1555"/>
    <n v="0.49"/>
    <n v="87.47"/>
  </r>
  <r>
    <x v="6"/>
    <x v="1"/>
    <x v="4"/>
    <x v="435"/>
    <n v="48910263"/>
    <n v="18081"/>
    <x v="220"/>
    <n v="8868"/>
    <n v="569011"/>
    <n v="8183"/>
    <n v="15714"/>
    <n v="1868"/>
    <n v="309757"/>
    <n v="433059"/>
    <n v="5769"/>
    <n v="1726345"/>
    <n v="26.92"/>
    <n v="19174647"/>
    <n v="12682241"/>
    <n v="13426266"/>
    <n v="69.900000000000006"/>
    <n v="3.96"/>
    <n v="4480"/>
    <n v="4.2699999999999996"/>
    <n v="78.48"/>
  </r>
  <r>
    <x v="4"/>
    <x v="4"/>
    <x v="0"/>
    <x v="436"/>
    <n v="48970777"/>
    <n v="5570"/>
    <x v="127"/>
    <n v="31251"/>
    <n v="232408"/>
    <n v="20661"/>
    <n v="29912"/>
    <n v="1671"/>
    <n v="835858"/>
    <n v="133724"/>
    <n v="1777"/>
    <n v="873402"/>
    <n v="25.88"/>
    <n v="41585482"/>
    <n v="34409759"/>
    <n v="20372411"/>
    <n v="45.62"/>
    <n v="9.89"/>
    <n v="1425"/>
    <n v="0.37"/>
    <n v="11.21"/>
  </r>
  <r>
    <x v="0"/>
    <x v="0"/>
    <x v="1"/>
    <x v="437"/>
    <n v="36236338"/>
    <n v="11560"/>
    <x v="190"/>
    <n v="39729"/>
    <n v="469451"/>
    <n v="41169"/>
    <n v="35768"/>
    <n v="1082"/>
    <n v="431919"/>
    <n v="56727"/>
    <n v="7380"/>
    <n v="1336184"/>
    <n v="15.27"/>
    <n v="30700544"/>
    <n v="38507657"/>
    <n v="21950818"/>
    <n v="53.11"/>
    <n v="6.14"/>
    <n v="717"/>
    <n v="0.83"/>
    <n v="38.11"/>
  </r>
  <r>
    <x v="5"/>
    <x v="0"/>
    <x v="4"/>
    <x v="438"/>
    <n v="19882100"/>
    <n v="3737"/>
    <x v="212"/>
    <n v="16734"/>
    <n v="243113"/>
    <n v="36495"/>
    <n v="1205"/>
    <n v="1728"/>
    <n v="744761"/>
    <n v="177159"/>
    <n v="2228"/>
    <n v="1298796"/>
    <n v="13"/>
    <n v="29494973"/>
    <n v="20043368"/>
    <n v="2114732"/>
    <n v="14.64"/>
    <n v="4.29"/>
    <n v="2424"/>
    <n v="2.93"/>
    <n v="77.459999999999994"/>
  </r>
  <r>
    <x v="4"/>
    <x v="3"/>
    <x v="4"/>
    <x v="439"/>
    <n v="32107303"/>
    <n v="17030"/>
    <x v="114"/>
    <n v="43429"/>
    <n v="77298"/>
    <n v="13703"/>
    <n v="34022"/>
    <n v="1488"/>
    <n v="550693"/>
    <n v="342054"/>
    <n v="9981"/>
    <n v="1485632"/>
    <n v="11.31"/>
    <n v="26239356"/>
    <n v="36625919"/>
    <n v="12960956"/>
    <n v="13.98"/>
    <n v="8.44"/>
    <n v="4140"/>
    <n v="3.72"/>
    <n v="41.73"/>
  </r>
  <r>
    <x v="3"/>
    <x v="3"/>
    <x v="2"/>
    <x v="440"/>
    <n v="35759675"/>
    <n v="8887"/>
    <x v="188"/>
    <n v="42337"/>
    <n v="584526"/>
    <n v="30815"/>
    <n v="11425"/>
    <n v="1803"/>
    <n v="205080"/>
    <n v="45480"/>
    <n v="8804"/>
    <n v="967289"/>
    <n v="21.22"/>
    <n v="18628043"/>
    <n v="8708825"/>
    <n v="23462711"/>
    <n v="58.34"/>
    <n v="7.43"/>
    <n v="1065"/>
    <n v="0.47"/>
    <n v="97.24"/>
  </r>
  <r>
    <x v="5"/>
    <x v="0"/>
    <x v="4"/>
    <x v="441"/>
    <n v="38329124"/>
    <n v="15005"/>
    <x v="160"/>
    <n v="41325"/>
    <n v="260425"/>
    <n v="29565"/>
    <n v="39544"/>
    <n v="259"/>
    <n v="575173"/>
    <n v="160422"/>
    <n v="9814"/>
    <n v="643811"/>
    <n v="20.149999999999999"/>
    <n v="29623800"/>
    <n v="39525597"/>
    <n v="22279169"/>
    <n v="98.5"/>
    <n v="7.62"/>
    <n v="385"/>
    <n v="4.6100000000000003"/>
    <n v="73.569999999999993"/>
  </r>
  <r>
    <x v="4"/>
    <x v="3"/>
    <x v="0"/>
    <x v="442"/>
    <n v="29688752"/>
    <n v="11331"/>
    <x v="197"/>
    <n v="63514"/>
    <n v="630721"/>
    <n v="22942"/>
    <n v="21696"/>
    <n v="1396"/>
    <n v="31153"/>
    <n v="199516"/>
    <n v="8888"/>
    <n v="1594526"/>
    <n v="5.89"/>
    <n v="10572251"/>
    <n v="39533160"/>
    <n v="223080"/>
    <n v="9.6300000000000008"/>
    <n v="2.36"/>
    <n v="4811"/>
    <n v="4.87"/>
    <n v="1.55"/>
  </r>
  <r>
    <x v="0"/>
    <x v="1"/>
    <x v="0"/>
    <x v="443"/>
    <n v="33827716"/>
    <n v="13967"/>
    <x v="95"/>
    <n v="9433"/>
    <n v="511609"/>
    <n v="42986"/>
    <n v="11672"/>
    <n v="1996"/>
    <n v="92365"/>
    <n v="326930"/>
    <n v="6746"/>
    <n v="805660"/>
    <n v="20.14"/>
    <n v="33756089"/>
    <n v="8614291"/>
    <n v="15473580"/>
    <n v="28.57"/>
    <n v="4.95"/>
    <n v="130"/>
    <n v="3.07"/>
    <n v="88"/>
  </r>
  <r>
    <x v="5"/>
    <x v="0"/>
    <x v="3"/>
    <x v="444"/>
    <n v="3475605"/>
    <n v="4807"/>
    <x v="16"/>
    <n v="10111"/>
    <n v="108092"/>
    <n v="33161"/>
    <n v="48988"/>
    <n v="94"/>
    <n v="478436"/>
    <n v="382565"/>
    <n v="6391"/>
    <n v="586009"/>
    <n v="7.57"/>
    <n v="43090768"/>
    <n v="34818555"/>
    <n v="3549551"/>
    <n v="86.95"/>
    <n v="8.69"/>
    <n v="2184"/>
    <n v="2.46"/>
    <n v="10.08"/>
  </r>
  <r>
    <x v="0"/>
    <x v="3"/>
    <x v="0"/>
    <x v="445"/>
    <n v="39153586"/>
    <n v="13095"/>
    <x v="111"/>
    <n v="64753"/>
    <n v="265291"/>
    <n v="48760"/>
    <n v="28753"/>
    <n v="1148"/>
    <n v="650601"/>
    <n v="307272"/>
    <n v="9429"/>
    <n v="663746"/>
    <n v="0.56000000000000005"/>
    <n v="7753759"/>
    <n v="14337150"/>
    <n v="6898199"/>
    <n v="7.23"/>
    <n v="5.29"/>
    <n v="1849"/>
    <n v="3.73"/>
    <n v="14.05"/>
  </r>
  <r>
    <x v="4"/>
    <x v="0"/>
    <x v="4"/>
    <x v="446"/>
    <n v="32164126"/>
    <n v="8962"/>
    <x v="68"/>
    <n v="22751"/>
    <n v="230991"/>
    <n v="41803"/>
    <n v="32171"/>
    <n v="40"/>
    <n v="146371"/>
    <n v="146467"/>
    <n v="2406"/>
    <n v="794294"/>
    <n v="20.98"/>
    <n v="42739591"/>
    <n v="32151777"/>
    <n v="22394780"/>
    <n v="87.59"/>
    <n v="6.99"/>
    <n v="307"/>
    <n v="1.71"/>
    <n v="73.45"/>
  </r>
  <r>
    <x v="0"/>
    <x v="4"/>
    <x v="0"/>
    <x v="447"/>
    <n v="47331679"/>
    <n v="4783"/>
    <x v="173"/>
    <n v="17453"/>
    <n v="301589"/>
    <n v="9716"/>
    <n v="43091"/>
    <n v="1914"/>
    <n v="715963"/>
    <n v="375385"/>
    <n v="8440"/>
    <n v="565396"/>
    <n v="19.34"/>
    <n v="37038197"/>
    <n v="10558423"/>
    <n v="3099586"/>
    <n v="52.43"/>
    <n v="6.09"/>
    <n v="234"/>
    <n v="2.52"/>
    <n v="86.5"/>
  </r>
  <r>
    <x v="3"/>
    <x v="2"/>
    <x v="2"/>
    <x v="448"/>
    <n v="14263700"/>
    <n v="7131"/>
    <x v="3"/>
    <n v="39968"/>
    <n v="710163"/>
    <n v="41563"/>
    <n v="2412"/>
    <n v="253"/>
    <n v="249035"/>
    <n v="317492"/>
    <n v="637"/>
    <n v="92788"/>
    <n v="12.32"/>
    <n v="19939111"/>
    <n v="1305068"/>
    <n v="2473836"/>
    <n v="40.83"/>
    <n v="8.5"/>
    <n v="172"/>
    <n v="4.59"/>
    <n v="53.63"/>
  </r>
  <r>
    <x v="4"/>
    <x v="0"/>
    <x v="3"/>
    <x v="449"/>
    <n v="23566465"/>
    <n v="8740"/>
    <x v="224"/>
    <n v="31077"/>
    <n v="193180"/>
    <n v="33349"/>
    <n v="49658"/>
    <n v="6"/>
    <n v="539840"/>
    <n v="473521"/>
    <n v="8090"/>
    <n v="469239"/>
    <n v="15.77"/>
    <n v="45199550"/>
    <n v="5735642"/>
    <n v="7285315"/>
    <n v="30.97"/>
    <n v="3.2"/>
    <n v="4750"/>
    <n v="4.78"/>
    <n v="28.9"/>
  </r>
  <r>
    <x v="4"/>
    <x v="2"/>
    <x v="4"/>
    <x v="450"/>
    <n v="15073834"/>
    <n v="1723"/>
    <x v="70"/>
    <n v="35775"/>
    <n v="631458"/>
    <n v="47098"/>
    <n v="13285"/>
    <n v="1494"/>
    <n v="137616"/>
    <n v="272767"/>
    <n v="949"/>
    <n v="245437"/>
    <n v="28.42"/>
    <n v="36689642"/>
    <n v="14040340"/>
    <n v="29089137"/>
    <n v="29.71"/>
    <n v="5.97"/>
    <n v="3564"/>
    <n v="4.6399999999999997"/>
    <n v="35.130000000000003"/>
  </r>
  <r>
    <x v="4"/>
    <x v="3"/>
    <x v="3"/>
    <x v="451"/>
    <n v="42207317"/>
    <n v="14368"/>
    <x v="137"/>
    <n v="59144"/>
    <n v="920517"/>
    <n v="42899"/>
    <n v="28192"/>
    <n v="727"/>
    <n v="151443"/>
    <n v="307774"/>
    <n v="3587"/>
    <n v="1810875"/>
    <n v="17.86"/>
    <n v="49764077"/>
    <n v="24601348"/>
    <n v="19541697"/>
    <n v="30.58"/>
    <n v="1.67"/>
    <n v="1444"/>
    <n v="1.39"/>
    <n v="34.29"/>
  </r>
  <r>
    <x v="6"/>
    <x v="2"/>
    <x v="4"/>
    <x v="452"/>
    <n v="9676748"/>
    <n v="11221"/>
    <x v="2"/>
    <n v="49570"/>
    <n v="348761"/>
    <n v="132"/>
    <n v="14925"/>
    <n v="1534"/>
    <n v="220875"/>
    <n v="259225"/>
    <n v="1111"/>
    <n v="867572"/>
    <n v="19.739999999999998"/>
    <n v="16907991"/>
    <n v="25700220"/>
    <n v="16709203"/>
    <n v="88.48"/>
    <n v="7.06"/>
    <n v="2402"/>
    <n v="1.24"/>
    <n v="32.67"/>
  </r>
  <r>
    <x v="6"/>
    <x v="0"/>
    <x v="2"/>
    <x v="453"/>
    <n v="23441230"/>
    <n v="13595"/>
    <x v="107"/>
    <n v="47097"/>
    <n v="214482"/>
    <n v="47752"/>
    <n v="919"/>
    <n v="1604"/>
    <n v="506435"/>
    <n v="13869"/>
    <n v="8367"/>
    <n v="1001467"/>
    <n v="1.92"/>
    <n v="36735049"/>
    <n v="23349699"/>
    <n v="23872437"/>
    <n v="72.38"/>
    <n v="7.45"/>
    <n v="3269"/>
    <n v="1.56"/>
    <n v="24.29"/>
  </r>
  <r>
    <x v="6"/>
    <x v="4"/>
    <x v="3"/>
    <x v="454"/>
    <n v="46001579"/>
    <n v="11853"/>
    <x v="236"/>
    <n v="25503"/>
    <n v="840934"/>
    <n v="3385"/>
    <n v="48584"/>
    <n v="68"/>
    <n v="546169"/>
    <n v="456358"/>
    <n v="722"/>
    <n v="683561"/>
    <n v="4.9800000000000004"/>
    <n v="27570798"/>
    <n v="15248752"/>
    <n v="2567604"/>
    <n v="66.97"/>
    <n v="0.91"/>
    <n v="1358"/>
    <n v="2.2599999999999998"/>
    <n v="60.89"/>
  </r>
  <r>
    <x v="3"/>
    <x v="3"/>
    <x v="1"/>
    <x v="455"/>
    <n v="29411861"/>
    <n v="2344"/>
    <x v="237"/>
    <n v="3779"/>
    <n v="642404"/>
    <n v="36538"/>
    <n v="382"/>
    <n v="1104"/>
    <n v="673134"/>
    <n v="112135"/>
    <n v="3842"/>
    <n v="1904586"/>
    <n v="9.0299999999999994"/>
    <n v="33780838"/>
    <n v="38974383"/>
    <n v="3535054"/>
    <n v="79.87"/>
    <n v="6.92"/>
    <n v="3994"/>
    <n v="1.64"/>
    <n v="90.04"/>
  </r>
  <r>
    <x v="5"/>
    <x v="0"/>
    <x v="4"/>
    <x v="456"/>
    <n v="24776628"/>
    <n v="3680"/>
    <x v="52"/>
    <n v="1755"/>
    <n v="825187"/>
    <n v="35036"/>
    <n v="22630"/>
    <n v="541"/>
    <n v="768022"/>
    <n v="175817"/>
    <n v="3674"/>
    <n v="50966"/>
    <n v="16.18"/>
    <n v="37284710"/>
    <n v="23640911"/>
    <n v="7045663"/>
    <n v="25.71"/>
    <n v="4.4400000000000004"/>
    <n v="1991"/>
    <n v="1.93"/>
    <n v="30.71"/>
  </r>
  <r>
    <x v="0"/>
    <x v="3"/>
    <x v="1"/>
    <x v="457"/>
    <n v="49827861"/>
    <n v="15143"/>
    <x v="238"/>
    <n v="40263"/>
    <n v="665093"/>
    <n v="33743"/>
    <n v="34122"/>
    <n v="1608"/>
    <n v="780805"/>
    <n v="221915"/>
    <n v="4866"/>
    <n v="186846"/>
    <n v="23.3"/>
    <n v="46273097"/>
    <n v="3987422"/>
    <n v="13143868"/>
    <n v="61.8"/>
    <n v="1.68"/>
    <n v="540"/>
    <n v="3.14"/>
    <n v="18.670000000000002"/>
  </r>
  <r>
    <x v="2"/>
    <x v="1"/>
    <x v="3"/>
    <x v="458"/>
    <n v="40270506"/>
    <n v="16580"/>
    <x v="135"/>
    <n v="56087"/>
    <n v="796911"/>
    <n v="40373"/>
    <n v="8525"/>
    <n v="1285"/>
    <n v="345752"/>
    <n v="455458"/>
    <n v="702"/>
    <n v="1322106"/>
    <n v="9.64"/>
    <n v="27853272"/>
    <n v="39210457"/>
    <n v="9186985"/>
    <n v="46.01"/>
    <n v="4.49"/>
    <n v="1104"/>
    <n v="3.84"/>
    <n v="83.86"/>
  </r>
  <r>
    <x v="4"/>
    <x v="2"/>
    <x v="1"/>
    <x v="459"/>
    <n v="11011846"/>
    <n v="14503"/>
    <x v="239"/>
    <n v="43281"/>
    <n v="600649"/>
    <n v="7213"/>
    <n v="2441"/>
    <n v="88"/>
    <n v="235520"/>
    <n v="231932"/>
    <n v="2128"/>
    <n v="602516"/>
    <n v="10.69"/>
    <n v="3917563"/>
    <n v="6112445"/>
    <n v="18920894"/>
    <n v="78.239999999999995"/>
    <n v="2.35"/>
    <n v="751"/>
    <n v="3.7"/>
    <n v="74.180000000000007"/>
  </r>
  <r>
    <x v="0"/>
    <x v="1"/>
    <x v="1"/>
    <x v="460"/>
    <n v="47169316"/>
    <n v="12224"/>
    <x v="47"/>
    <n v="52482"/>
    <n v="677664"/>
    <n v="44223"/>
    <n v="21064"/>
    <n v="1938"/>
    <n v="50392"/>
    <n v="156729"/>
    <n v="9118"/>
    <n v="1040524"/>
    <n v="7.68"/>
    <n v="21201009"/>
    <n v="21638003"/>
    <n v="11057765"/>
    <n v="30.93"/>
    <n v="4.45"/>
    <n v="2984"/>
    <n v="4.09"/>
    <n v="93.08"/>
  </r>
  <r>
    <x v="4"/>
    <x v="0"/>
    <x v="3"/>
    <x v="461"/>
    <n v="38643159"/>
    <n v="3503"/>
    <x v="225"/>
    <n v="55857"/>
    <n v="429910"/>
    <n v="26119"/>
    <n v="32634"/>
    <n v="1231"/>
    <n v="182093"/>
    <n v="234899"/>
    <n v="4233"/>
    <n v="1195873"/>
    <n v="7.64"/>
    <n v="9844090"/>
    <n v="24800965"/>
    <n v="11986978"/>
    <n v="64.319999999999993"/>
    <n v="4.1500000000000004"/>
    <n v="4745"/>
    <n v="0.26"/>
    <n v="16.55"/>
  </r>
  <r>
    <x v="3"/>
    <x v="4"/>
    <x v="2"/>
    <x v="462"/>
    <n v="44062003"/>
    <n v="4557"/>
    <x v="30"/>
    <n v="18400"/>
    <n v="125232"/>
    <n v="2835"/>
    <n v="10595"/>
    <n v="212"/>
    <n v="878433"/>
    <n v="342026"/>
    <n v="2517"/>
    <n v="1459485"/>
    <n v="28.47"/>
    <n v="9200952"/>
    <n v="1913894"/>
    <n v="22776626"/>
    <n v="88.22"/>
    <n v="7.51"/>
    <n v="1184"/>
    <n v="0.33"/>
    <n v="14.43"/>
  </r>
  <r>
    <x v="4"/>
    <x v="3"/>
    <x v="1"/>
    <x v="463"/>
    <n v="9478989"/>
    <n v="10652"/>
    <x v="208"/>
    <n v="41115"/>
    <n v="893018"/>
    <n v="2738"/>
    <n v="48240"/>
    <n v="833"/>
    <n v="739780"/>
    <n v="340626"/>
    <n v="1149"/>
    <n v="1383917"/>
    <n v="19.059999999999999"/>
    <n v="26911058"/>
    <n v="3243899"/>
    <n v="3360966"/>
    <n v="40.22"/>
    <n v="7.86"/>
    <n v="129"/>
    <n v="3.97"/>
    <n v="54.14"/>
  </r>
  <r>
    <x v="6"/>
    <x v="2"/>
    <x v="1"/>
    <x v="464"/>
    <n v="14292249"/>
    <n v="5678"/>
    <x v="240"/>
    <n v="15249"/>
    <n v="82171"/>
    <n v="42317"/>
    <n v="31968"/>
    <n v="265"/>
    <n v="346035"/>
    <n v="168257"/>
    <n v="1878"/>
    <n v="44021"/>
    <n v="4.68"/>
    <n v="9849069"/>
    <n v="22273285"/>
    <n v="6801196"/>
    <n v="6.66"/>
    <n v="6.27"/>
    <n v="885"/>
    <n v="2.71"/>
    <n v="61.44"/>
  </r>
  <r>
    <x v="2"/>
    <x v="3"/>
    <x v="2"/>
    <x v="465"/>
    <n v="28598059"/>
    <n v="8378"/>
    <x v="215"/>
    <n v="47825"/>
    <n v="377295"/>
    <n v="4134"/>
    <n v="1705"/>
    <n v="911"/>
    <n v="280564"/>
    <n v="444024"/>
    <n v="9445"/>
    <n v="382059"/>
    <n v="21.67"/>
    <n v="4031660"/>
    <n v="19822529"/>
    <n v="7577676"/>
    <n v="51.61"/>
    <n v="0.72"/>
    <n v="701"/>
    <n v="2.93"/>
    <n v="48.02"/>
  </r>
  <r>
    <x v="1"/>
    <x v="0"/>
    <x v="1"/>
    <x v="466"/>
    <n v="4183909"/>
    <n v="15584"/>
    <x v="145"/>
    <n v="25600"/>
    <n v="87296"/>
    <n v="25892"/>
    <n v="34685"/>
    <n v="292"/>
    <n v="803634"/>
    <n v="444673"/>
    <n v="9675"/>
    <n v="150333"/>
    <n v="21.66"/>
    <n v="49233998"/>
    <n v="12800727"/>
    <n v="3498352"/>
    <n v="34.6"/>
    <n v="9.34"/>
    <n v="466"/>
    <n v="0.36"/>
    <n v="59.9"/>
  </r>
  <r>
    <x v="4"/>
    <x v="3"/>
    <x v="1"/>
    <x v="467"/>
    <n v="35594032"/>
    <n v="19794"/>
    <x v="23"/>
    <n v="38706"/>
    <n v="141562"/>
    <n v="39601"/>
    <n v="49942"/>
    <n v="1230"/>
    <n v="256716"/>
    <n v="373183"/>
    <n v="309"/>
    <n v="421594"/>
    <n v="19.989999999999998"/>
    <n v="13408129"/>
    <n v="10756656"/>
    <n v="18307904"/>
    <n v="67.22"/>
    <n v="7.02"/>
    <n v="3730"/>
    <n v="1.35"/>
    <n v="18.04"/>
  </r>
  <r>
    <x v="0"/>
    <x v="2"/>
    <x v="1"/>
    <x v="468"/>
    <n v="41519538"/>
    <n v="19439"/>
    <x v="42"/>
    <n v="20222"/>
    <n v="153324"/>
    <n v="8353"/>
    <n v="33797"/>
    <n v="332"/>
    <n v="788826"/>
    <n v="144642"/>
    <n v="3952"/>
    <n v="904606"/>
    <n v="4.04"/>
    <n v="31981044"/>
    <n v="641627"/>
    <n v="27996685"/>
    <n v="95.1"/>
    <n v="0.82"/>
    <n v="3916"/>
    <n v="3.23"/>
    <n v="47.96"/>
  </r>
  <r>
    <x v="6"/>
    <x v="0"/>
    <x v="0"/>
    <x v="469"/>
    <n v="20347987"/>
    <n v="3602"/>
    <x v="111"/>
    <n v="42139"/>
    <n v="499506"/>
    <n v="15690"/>
    <n v="44235"/>
    <n v="1100"/>
    <n v="817917"/>
    <n v="340956"/>
    <n v="7728"/>
    <n v="777934"/>
    <n v="12.24"/>
    <n v="32174364"/>
    <n v="24523904"/>
    <n v="9421148"/>
    <n v="48.56"/>
    <n v="8.2799999999999994"/>
    <n v="795"/>
    <n v="4.3099999999999996"/>
    <n v="65.81"/>
  </r>
  <r>
    <x v="1"/>
    <x v="3"/>
    <x v="2"/>
    <x v="470"/>
    <n v="18420863"/>
    <n v="16452"/>
    <x v="241"/>
    <n v="42302"/>
    <n v="663222"/>
    <n v="1909"/>
    <n v="1413"/>
    <n v="1311"/>
    <n v="159859"/>
    <n v="118743"/>
    <n v="3049"/>
    <n v="87755"/>
    <n v="3.2"/>
    <n v="12023450"/>
    <n v="16324963"/>
    <n v="3281401"/>
    <n v="46.62"/>
    <n v="2.4"/>
    <n v="2052"/>
    <n v="4.59"/>
    <n v="43.27"/>
  </r>
  <r>
    <x v="2"/>
    <x v="4"/>
    <x v="1"/>
    <x v="471"/>
    <n v="32953189"/>
    <n v="2292"/>
    <x v="81"/>
    <n v="69159"/>
    <n v="242535"/>
    <n v="25703"/>
    <n v="17820"/>
    <n v="1004"/>
    <n v="783559"/>
    <n v="369661"/>
    <n v="5766"/>
    <n v="930441"/>
    <n v="24.5"/>
    <n v="5694696"/>
    <n v="23155347"/>
    <n v="22819458"/>
    <n v="65.459999999999994"/>
    <n v="6"/>
    <n v="289"/>
    <n v="2.5499999999999998"/>
    <n v="67.94"/>
  </r>
  <r>
    <x v="1"/>
    <x v="0"/>
    <x v="2"/>
    <x v="472"/>
    <n v="46054686"/>
    <n v="14715"/>
    <x v="231"/>
    <n v="9646"/>
    <n v="333103"/>
    <n v="14496"/>
    <n v="8865"/>
    <n v="46"/>
    <n v="126202"/>
    <n v="210254"/>
    <n v="9756"/>
    <n v="1115906"/>
    <n v="19.66"/>
    <n v="8280974"/>
    <n v="32696882"/>
    <n v="7868653"/>
    <n v="10.35"/>
    <n v="4.93"/>
    <n v="2943"/>
    <n v="2.77"/>
    <n v="45.12"/>
  </r>
  <r>
    <x v="6"/>
    <x v="0"/>
    <x v="4"/>
    <x v="473"/>
    <n v="24433622"/>
    <n v="5147"/>
    <x v="68"/>
    <n v="14543"/>
    <n v="404666"/>
    <n v="12062"/>
    <n v="38646"/>
    <n v="621"/>
    <n v="74027"/>
    <n v="137977"/>
    <n v="9692"/>
    <n v="703726"/>
    <n v="15.22"/>
    <n v="24462139"/>
    <n v="13817258"/>
    <n v="29037847"/>
    <n v="25.35"/>
    <n v="4.49"/>
    <n v="1994"/>
    <n v="4.18"/>
    <n v="33.36"/>
  </r>
  <r>
    <x v="5"/>
    <x v="4"/>
    <x v="4"/>
    <x v="474"/>
    <n v="1916953"/>
    <n v="8690"/>
    <x v="159"/>
    <n v="23785"/>
    <n v="319166"/>
    <n v="9850"/>
    <n v="10849"/>
    <n v="1223"/>
    <n v="147011"/>
    <n v="213496"/>
    <n v="6412"/>
    <n v="859754"/>
    <n v="10.29"/>
    <n v="31124126"/>
    <n v="30959512"/>
    <n v="11654720"/>
    <n v="91.9"/>
    <n v="8.9499999999999993"/>
    <n v="905"/>
    <n v="2.73"/>
    <n v="30.36"/>
  </r>
  <r>
    <x v="5"/>
    <x v="1"/>
    <x v="1"/>
    <x v="475"/>
    <n v="30750211"/>
    <n v="1998"/>
    <x v="62"/>
    <n v="32406"/>
    <n v="784258"/>
    <n v="27701"/>
    <n v="20"/>
    <n v="426"/>
    <n v="750480"/>
    <n v="390500"/>
    <n v="4865"/>
    <n v="1938326"/>
    <n v="5.53"/>
    <n v="5067579"/>
    <n v="15182921"/>
    <n v="15746479"/>
    <n v="66.989999999999995"/>
    <n v="4.6500000000000004"/>
    <n v="3565"/>
    <n v="2.63"/>
    <n v="41.09"/>
  </r>
  <r>
    <x v="1"/>
    <x v="2"/>
    <x v="2"/>
    <x v="476"/>
    <n v="19971461"/>
    <n v="5668"/>
    <x v="182"/>
    <n v="52428"/>
    <n v="849423"/>
    <n v="34731"/>
    <n v="39108"/>
    <n v="209"/>
    <n v="829167"/>
    <n v="226056"/>
    <n v="15"/>
    <n v="570601"/>
    <n v="3.19"/>
    <n v="19933946"/>
    <n v="14433704"/>
    <n v="9226377"/>
    <n v="1.34"/>
    <n v="1.22"/>
    <n v="2696"/>
    <n v="4.53"/>
    <n v="2.31"/>
  </r>
  <r>
    <x v="3"/>
    <x v="1"/>
    <x v="2"/>
    <x v="477"/>
    <n v="29788010"/>
    <n v="4286"/>
    <x v="174"/>
    <n v="24777"/>
    <n v="172999"/>
    <n v="5153"/>
    <n v="47839"/>
    <n v="887"/>
    <n v="683519"/>
    <n v="455344"/>
    <n v="605"/>
    <n v="235729"/>
    <n v="29.08"/>
    <n v="32410937"/>
    <n v="29398207"/>
    <n v="27696396"/>
    <n v="20.46"/>
    <n v="9.49"/>
    <n v="3244"/>
    <n v="3.97"/>
    <n v="66.849999999999994"/>
  </r>
  <r>
    <x v="0"/>
    <x v="3"/>
    <x v="2"/>
    <x v="478"/>
    <n v="921280"/>
    <n v="1970"/>
    <x v="171"/>
    <n v="58939"/>
    <n v="756737"/>
    <n v="10481"/>
    <n v="9240"/>
    <n v="1443"/>
    <n v="287620"/>
    <n v="181944"/>
    <n v="9573"/>
    <n v="758071"/>
    <n v="5.99"/>
    <n v="2129708"/>
    <n v="3189948"/>
    <n v="18894563"/>
    <n v="68.28"/>
    <n v="9.25"/>
    <n v="4565"/>
    <n v="4.55"/>
    <n v="84.51"/>
  </r>
  <r>
    <x v="0"/>
    <x v="4"/>
    <x v="0"/>
    <x v="479"/>
    <n v="1409245"/>
    <n v="11219"/>
    <x v="242"/>
    <n v="54026"/>
    <n v="312997"/>
    <n v="33734"/>
    <n v="40242"/>
    <n v="153"/>
    <n v="235811"/>
    <n v="445420"/>
    <n v="4908"/>
    <n v="1338752"/>
    <n v="1.8"/>
    <n v="49777433"/>
    <n v="31608843"/>
    <n v="11955400"/>
    <n v="76.44"/>
    <n v="7"/>
    <n v="4854"/>
    <n v="1.17"/>
    <n v="35.46"/>
  </r>
  <r>
    <x v="1"/>
    <x v="1"/>
    <x v="4"/>
    <x v="480"/>
    <n v="16493238"/>
    <n v="4238"/>
    <x v="152"/>
    <n v="30553"/>
    <n v="32826"/>
    <n v="889"/>
    <n v="47524"/>
    <n v="1545"/>
    <n v="869575"/>
    <n v="466932"/>
    <n v="8006"/>
    <n v="1534755"/>
    <n v="28.85"/>
    <n v="36659813"/>
    <n v="27375854"/>
    <n v="4807821"/>
    <n v="83.99"/>
    <n v="4.9400000000000004"/>
    <n v="2648"/>
    <n v="2.67"/>
    <n v="4.5999999999999996"/>
  </r>
  <r>
    <x v="4"/>
    <x v="0"/>
    <x v="2"/>
    <x v="481"/>
    <n v="48927722"/>
    <n v="12257"/>
    <x v="33"/>
    <n v="24548"/>
    <n v="830311"/>
    <n v="19445"/>
    <n v="35781"/>
    <n v="414"/>
    <n v="723725"/>
    <n v="101522"/>
    <n v="9086"/>
    <n v="149430"/>
    <n v="16.47"/>
    <n v="35658147"/>
    <n v="11650919"/>
    <n v="14531171"/>
    <n v="29.22"/>
    <n v="1.38"/>
    <n v="1403"/>
    <n v="4.2300000000000004"/>
    <n v="98.68"/>
  </r>
  <r>
    <x v="4"/>
    <x v="3"/>
    <x v="2"/>
    <x v="482"/>
    <n v="34647064"/>
    <n v="288"/>
    <x v="184"/>
    <n v="64221"/>
    <n v="713625"/>
    <n v="6461"/>
    <n v="29266"/>
    <n v="1376"/>
    <n v="370275"/>
    <n v="351544"/>
    <n v="9759"/>
    <n v="1042431"/>
    <n v="23.9"/>
    <n v="21182515"/>
    <n v="48720"/>
    <n v="27375241"/>
    <n v="93.1"/>
    <n v="8.01"/>
    <n v="2085"/>
    <n v="0.64"/>
    <n v="26.37"/>
  </r>
  <r>
    <x v="0"/>
    <x v="3"/>
    <x v="0"/>
    <x v="483"/>
    <n v="12925714"/>
    <n v="254"/>
    <x v="60"/>
    <n v="38265"/>
    <n v="597649"/>
    <n v="38934"/>
    <n v="25661"/>
    <n v="1180"/>
    <n v="724166"/>
    <n v="268874"/>
    <n v="6412"/>
    <n v="1897718"/>
    <n v="1.31"/>
    <n v="2636594"/>
    <n v="15960516"/>
    <n v="24378023"/>
    <n v="55.29"/>
    <n v="1.22"/>
    <n v="2930"/>
    <n v="3.99"/>
    <n v="12.66"/>
  </r>
  <r>
    <x v="0"/>
    <x v="1"/>
    <x v="0"/>
    <x v="484"/>
    <n v="30420720"/>
    <n v="10849"/>
    <x v="84"/>
    <n v="41701"/>
    <n v="241028"/>
    <n v="28205"/>
    <n v="32393"/>
    <n v="1284"/>
    <n v="581485"/>
    <n v="386718"/>
    <n v="8605"/>
    <n v="1407046"/>
    <n v="17.010000000000002"/>
    <n v="23789052"/>
    <n v="18364798"/>
    <n v="22192022"/>
    <n v="69.650000000000006"/>
    <n v="1.1499999999999999"/>
    <n v="729"/>
    <n v="1"/>
    <n v="36.979999999999997"/>
  </r>
  <r>
    <x v="5"/>
    <x v="1"/>
    <x v="2"/>
    <x v="485"/>
    <n v="27138002"/>
    <n v="5602"/>
    <x v="238"/>
    <n v="52287"/>
    <n v="341134"/>
    <n v="23351"/>
    <n v="39973"/>
    <n v="1100"/>
    <n v="595170"/>
    <n v="361113"/>
    <n v="4120"/>
    <n v="1397877"/>
    <n v="11.95"/>
    <n v="36853680"/>
    <n v="29851695"/>
    <n v="12422754"/>
    <n v="59.67"/>
    <n v="5.61"/>
    <n v="536"/>
    <n v="4.0599999999999996"/>
    <n v="73.86"/>
  </r>
  <r>
    <x v="3"/>
    <x v="4"/>
    <x v="3"/>
    <x v="486"/>
    <n v="16939220"/>
    <n v="4977"/>
    <x v="243"/>
    <n v="7727"/>
    <n v="352931"/>
    <n v="16006"/>
    <n v="13672"/>
    <n v="768"/>
    <n v="803583"/>
    <n v="277945"/>
    <n v="8507"/>
    <n v="443037"/>
    <n v="23.16"/>
    <n v="39286988"/>
    <n v="6973648"/>
    <n v="11847478"/>
    <n v="12.27"/>
    <n v="2.02"/>
    <n v="3670"/>
    <n v="3.1"/>
    <n v="29.39"/>
  </r>
  <r>
    <x v="6"/>
    <x v="2"/>
    <x v="2"/>
    <x v="487"/>
    <n v="12759034"/>
    <n v="11214"/>
    <x v="103"/>
    <n v="51717"/>
    <n v="218256"/>
    <n v="44149"/>
    <n v="13749"/>
    <n v="982"/>
    <n v="180616"/>
    <n v="146031"/>
    <n v="4666"/>
    <n v="29365"/>
    <n v="1.1499999999999999"/>
    <n v="16538600"/>
    <n v="21377600"/>
    <n v="27461438"/>
    <n v="96.31"/>
    <n v="0.56999999999999995"/>
    <n v="3700"/>
    <n v="1.05"/>
    <n v="57.47"/>
  </r>
  <r>
    <x v="4"/>
    <x v="1"/>
    <x v="2"/>
    <x v="488"/>
    <n v="6230385"/>
    <n v="4440"/>
    <x v="78"/>
    <n v="33427"/>
    <n v="41736"/>
    <n v="49112"/>
    <n v="48366"/>
    <n v="1511"/>
    <n v="15133"/>
    <n v="414499"/>
    <n v="4820"/>
    <n v="1324909"/>
    <n v="12.05"/>
    <n v="33816760"/>
    <n v="29972794"/>
    <n v="26508102"/>
    <n v="12.29"/>
    <n v="4.5199999999999996"/>
    <n v="4768"/>
    <n v="2.42"/>
    <n v="41.56"/>
  </r>
  <r>
    <x v="0"/>
    <x v="1"/>
    <x v="0"/>
    <x v="489"/>
    <n v="26080123"/>
    <n v="19121"/>
    <x v="174"/>
    <n v="17692"/>
    <n v="287674"/>
    <n v="10940"/>
    <n v="1799"/>
    <n v="1154"/>
    <n v="79664"/>
    <n v="433754"/>
    <n v="7835"/>
    <n v="1519541"/>
    <n v="23.97"/>
    <n v="26490863"/>
    <n v="13624049"/>
    <n v="18615209"/>
    <n v="25.49"/>
    <n v="1.8"/>
    <n v="1488"/>
    <n v="3.44"/>
    <n v="11.78"/>
  </r>
  <r>
    <x v="5"/>
    <x v="0"/>
    <x v="0"/>
    <x v="490"/>
    <n v="36435918"/>
    <n v="15691"/>
    <x v="244"/>
    <n v="32625"/>
    <n v="210124"/>
    <n v="11258"/>
    <n v="19430"/>
    <n v="578"/>
    <n v="787501"/>
    <n v="359529"/>
    <n v="1849"/>
    <n v="1581112"/>
    <n v="15.68"/>
    <n v="24237745"/>
    <n v="39854065"/>
    <n v="20771170"/>
    <n v="81.36"/>
    <n v="2.02"/>
    <n v="4364"/>
    <n v="3.21"/>
    <n v="33.03"/>
  </r>
  <r>
    <x v="2"/>
    <x v="3"/>
    <x v="2"/>
    <x v="491"/>
    <n v="47868963"/>
    <n v="6210"/>
    <x v="85"/>
    <n v="25918"/>
    <n v="179130"/>
    <n v="24485"/>
    <n v="23771"/>
    <n v="1478"/>
    <n v="453616"/>
    <n v="117656"/>
    <n v="1953"/>
    <n v="1053945"/>
    <n v="16.5"/>
    <n v="42094561"/>
    <n v="9821646"/>
    <n v="16820801"/>
    <n v="61.86"/>
    <n v="1.23"/>
    <n v="1534"/>
    <n v="2.19"/>
    <n v="72.489999999999995"/>
  </r>
  <r>
    <x v="5"/>
    <x v="2"/>
    <x v="2"/>
    <x v="492"/>
    <n v="42222758"/>
    <n v="15860"/>
    <x v="241"/>
    <n v="42136"/>
    <n v="631368"/>
    <n v="23763"/>
    <n v="40376"/>
    <n v="739"/>
    <n v="854441"/>
    <n v="228595"/>
    <n v="8580"/>
    <n v="457979"/>
    <n v="2.91"/>
    <n v="4512781"/>
    <n v="39558907"/>
    <n v="22235982"/>
    <n v="83.81"/>
    <n v="2.4500000000000002"/>
    <n v="740"/>
    <n v="4.51"/>
    <n v="61.2"/>
  </r>
  <r>
    <x v="4"/>
    <x v="0"/>
    <x v="2"/>
    <x v="493"/>
    <n v="13050508"/>
    <n v="5176"/>
    <x v="245"/>
    <n v="53409"/>
    <n v="468310"/>
    <n v="40048"/>
    <n v="37616"/>
    <n v="162"/>
    <n v="123925"/>
    <n v="254909"/>
    <n v="2769"/>
    <n v="1975130"/>
    <n v="3.97"/>
    <n v="1876213"/>
    <n v="9974890"/>
    <n v="21273928"/>
    <n v="51.57"/>
    <n v="7.3"/>
    <n v="1062"/>
    <n v="2.64"/>
    <n v="11.98"/>
  </r>
  <r>
    <x v="4"/>
    <x v="4"/>
    <x v="0"/>
    <x v="494"/>
    <n v="33714626"/>
    <n v="866"/>
    <x v="144"/>
    <n v="16577"/>
    <n v="337399"/>
    <n v="1067"/>
    <n v="38650"/>
    <n v="1038"/>
    <n v="888058"/>
    <n v="435560"/>
    <n v="3046"/>
    <n v="1864613"/>
    <n v="20.309999999999999"/>
    <n v="27797690"/>
    <n v="12037458"/>
    <n v="6717998"/>
    <n v="37.700000000000003"/>
    <n v="8.18"/>
    <n v="4592"/>
    <n v="2.58"/>
    <n v="16.329999999999998"/>
  </r>
  <r>
    <x v="5"/>
    <x v="4"/>
    <x v="2"/>
    <x v="495"/>
    <n v="44360083"/>
    <n v="13464"/>
    <x v="119"/>
    <n v="28689"/>
    <n v="661246"/>
    <n v="20607"/>
    <n v="44145"/>
    <n v="1255"/>
    <n v="775008"/>
    <n v="205484"/>
    <n v="7594"/>
    <n v="1885624"/>
    <n v="20.25"/>
    <n v="32251216"/>
    <n v="21932974"/>
    <n v="14502736"/>
    <n v="92.18"/>
    <n v="4.8"/>
    <n v="2397"/>
    <n v="0.41"/>
    <n v="64.069999999999993"/>
  </r>
  <r>
    <x v="6"/>
    <x v="1"/>
    <x v="2"/>
    <x v="496"/>
    <n v="14105804"/>
    <n v="242"/>
    <x v="190"/>
    <n v="12154"/>
    <n v="389742"/>
    <n v="43883"/>
    <n v="37077"/>
    <n v="194"/>
    <n v="390166"/>
    <n v="15121"/>
    <n v="6840"/>
    <n v="1497271"/>
    <n v="29.37"/>
    <n v="2546946"/>
    <n v="19201739"/>
    <n v="10413949"/>
    <n v="3.63"/>
    <n v="5.31"/>
    <n v="3758"/>
    <n v="4.62"/>
    <n v="81.34"/>
  </r>
  <r>
    <x v="1"/>
    <x v="1"/>
    <x v="1"/>
    <x v="497"/>
    <n v="7585904"/>
    <n v="18210"/>
    <x v="163"/>
    <n v="22341"/>
    <n v="225793"/>
    <n v="9018"/>
    <n v="17367"/>
    <n v="1884"/>
    <n v="295682"/>
    <n v="201035"/>
    <n v="5066"/>
    <n v="366863"/>
    <n v="21.36"/>
    <n v="12247905"/>
    <n v="7619709"/>
    <n v="28869862"/>
    <n v="85.61"/>
    <n v="0.81"/>
    <n v="4520"/>
    <n v="0.97"/>
    <n v="34.950000000000003"/>
  </r>
  <r>
    <x v="4"/>
    <x v="4"/>
    <x v="3"/>
    <x v="498"/>
    <n v="14324880"/>
    <n v="3695"/>
    <x v="221"/>
    <n v="47330"/>
    <n v="643911"/>
    <n v="48521"/>
    <n v="39861"/>
    <n v="541"/>
    <n v="180660"/>
    <n v="448881"/>
    <n v="2415"/>
    <n v="1221531"/>
    <n v="14.8"/>
    <n v="21088295"/>
    <n v="14139454"/>
    <n v="28720435"/>
    <n v="23.08"/>
    <n v="1.1599999999999999"/>
    <n v="1972"/>
    <n v="2.69"/>
    <n v="59.53"/>
  </r>
  <r>
    <x v="5"/>
    <x v="1"/>
    <x v="4"/>
    <x v="499"/>
    <n v="7199744"/>
    <n v="12866"/>
    <x v="246"/>
    <n v="69416"/>
    <n v="300531"/>
    <n v="46946"/>
    <n v="38272"/>
    <n v="358"/>
    <n v="204749"/>
    <n v="441359"/>
    <n v="2389"/>
    <n v="1606919"/>
    <n v="25.72"/>
    <n v="9412220"/>
    <n v="9276497"/>
    <n v="10089617"/>
    <n v="84.87"/>
    <n v="2.95"/>
    <n v="687"/>
    <n v="4.04"/>
    <n v="17.059999999999999"/>
  </r>
  <r>
    <x v="0"/>
    <x v="2"/>
    <x v="3"/>
    <x v="500"/>
    <n v="11087999"/>
    <n v="6364"/>
    <x v="24"/>
    <n v="34313"/>
    <n v="677935"/>
    <n v="15187"/>
    <n v="11327"/>
    <n v="849"/>
    <n v="206038"/>
    <n v="204322"/>
    <n v="5924"/>
    <n v="1773667"/>
    <n v="3.13"/>
    <n v="34321345"/>
    <n v="28681200"/>
    <n v="15553687"/>
    <n v="13.92"/>
    <n v="5.67"/>
    <n v="3058"/>
    <n v="1.1599999999999999"/>
    <n v="31.14"/>
  </r>
  <r>
    <x v="5"/>
    <x v="1"/>
    <x v="1"/>
    <x v="501"/>
    <n v="26301543"/>
    <n v="18222"/>
    <x v="168"/>
    <n v="47900"/>
    <n v="637548"/>
    <n v="37375"/>
    <n v="21544"/>
    <n v="1354"/>
    <n v="465932"/>
    <n v="64461"/>
    <n v="8495"/>
    <n v="1428400"/>
    <n v="13.48"/>
    <n v="10406873"/>
    <n v="31676210"/>
    <n v="927510"/>
    <n v="58.02"/>
    <n v="7.53"/>
    <n v="2283"/>
    <n v="2.68"/>
    <n v="2.0299999999999998"/>
  </r>
  <r>
    <x v="3"/>
    <x v="3"/>
    <x v="4"/>
    <x v="502"/>
    <n v="36855877"/>
    <n v="7424"/>
    <x v="126"/>
    <n v="35695"/>
    <n v="433859"/>
    <n v="3985"/>
    <n v="25744"/>
    <n v="426"/>
    <n v="722653"/>
    <n v="394561"/>
    <n v="763"/>
    <n v="270594"/>
    <n v="8.61"/>
    <n v="46628190"/>
    <n v="5646319"/>
    <n v="12916875"/>
    <n v="88.81"/>
    <n v="6.25"/>
    <n v="2175"/>
    <n v="1.28"/>
    <n v="76.83"/>
  </r>
  <r>
    <x v="1"/>
    <x v="1"/>
    <x v="2"/>
    <x v="503"/>
    <n v="26474082"/>
    <n v="3750"/>
    <x v="5"/>
    <n v="31225"/>
    <n v="928604"/>
    <n v="43052"/>
    <n v="35907"/>
    <n v="496"/>
    <n v="467502"/>
    <n v="434327"/>
    <n v="7541"/>
    <n v="1183573"/>
    <n v="3.14"/>
    <n v="10864648"/>
    <n v="12182826"/>
    <n v="17215508"/>
    <n v="47.35"/>
    <n v="4.2300000000000004"/>
    <n v="3507"/>
    <n v="3.82"/>
    <n v="40.1"/>
  </r>
  <r>
    <x v="2"/>
    <x v="0"/>
    <x v="1"/>
    <x v="504"/>
    <n v="46967514"/>
    <n v="10705"/>
    <x v="17"/>
    <n v="50156"/>
    <n v="454572"/>
    <n v="19563"/>
    <n v="32882"/>
    <n v="827"/>
    <n v="300782"/>
    <n v="272599"/>
    <n v="815"/>
    <n v="474267"/>
    <n v="22.91"/>
    <n v="23849043"/>
    <n v="13050513"/>
    <n v="18025725"/>
    <n v="74.66"/>
    <n v="1.62"/>
    <n v="4339"/>
    <n v="2.87"/>
    <n v="81.61"/>
  </r>
  <r>
    <x v="6"/>
    <x v="2"/>
    <x v="2"/>
    <x v="505"/>
    <n v="45307180"/>
    <n v="15179"/>
    <x v="234"/>
    <n v="28829"/>
    <n v="402072"/>
    <n v="47322"/>
    <n v="40211"/>
    <n v="485"/>
    <n v="201966"/>
    <n v="98941"/>
    <n v="6255"/>
    <n v="51272"/>
    <n v="15.32"/>
    <n v="4203028"/>
    <n v="31319676"/>
    <n v="7043135"/>
    <n v="80.47"/>
    <n v="7.92"/>
    <n v="3224"/>
    <n v="4.29"/>
    <n v="70.84"/>
  </r>
  <r>
    <x v="2"/>
    <x v="0"/>
    <x v="0"/>
    <x v="506"/>
    <n v="12453070"/>
    <n v="9409"/>
    <x v="26"/>
    <n v="26938"/>
    <n v="432385"/>
    <n v="37306"/>
    <n v="7699"/>
    <n v="1831"/>
    <n v="472743"/>
    <n v="442008"/>
    <n v="877"/>
    <n v="1054886"/>
    <n v="16.7"/>
    <n v="43389916"/>
    <n v="39281720"/>
    <n v="11977945"/>
    <n v="73.650000000000006"/>
    <n v="3.96"/>
    <n v="3738"/>
    <n v="4.4800000000000004"/>
    <n v="82.87"/>
  </r>
  <r>
    <x v="1"/>
    <x v="0"/>
    <x v="1"/>
    <x v="507"/>
    <n v="7339789"/>
    <n v="3943"/>
    <x v="211"/>
    <n v="60164"/>
    <n v="947308"/>
    <n v="18608"/>
    <n v="3577"/>
    <n v="1472"/>
    <n v="484546"/>
    <n v="180176"/>
    <n v="7173"/>
    <n v="1081393"/>
    <n v="12.34"/>
    <n v="1738746"/>
    <n v="30761274"/>
    <n v="15469639"/>
    <n v="92.53"/>
    <n v="7.49"/>
    <n v="1449"/>
    <n v="3.28"/>
    <n v="28.57"/>
  </r>
  <r>
    <x v="1"/>
    <x v="3"/>
    <x v="0"/>
    <x v="508"/>
    <n v="9070556"/>
    <n v="6861"/>
    <x v="60"/>
    <n v="55530"/>
    <n v="692150"/>
    <n v="39139"/>
    <n v="20742"/>
    <n v="1436"/>
    <n v="187723"/>
    <n v="246400"/>
    <n v="7073"/>
    <n v="1557926"/>
    <n v="13.81"/>
    <n v="46128920"/>
    <n v="34617637"/>
    <n v="17533917"/>
    <n v="44.68"/>
    <n v="5.37"/>
    <n v="2384"/>
    <n v="3.65"/>
    <n v="18.510000000000002"/>
  </r>
  <r>
    <x v="1"/>
    <x v="2"/>
    <x v="1"/>
    <x v="509"/>
    <n v="19860030"/>
    <n v="9338"/>
    <x v="247"/>
    <n v="69199"/>
    <n v="294132"/>
    <n v="1726"/>
    <n v="20784"/>
    <n v="329"/>
    <n v="897672"/>
    <n v="160886"/>
    <n v="4798"/>
    <n v="487160"/>
    <n v="3.48"/>
    <n v="38748517"/>
    <n v="17612704"/>
    <n v="16048289"/>
    <n v="17.309999999999999"/>
    <n v="7.52"/>
    <n v="1555"/>
    <n v="2.79"/>
    <n v="97.19"/>
  </r>
  <r>
    <x v="2"/>
    <x v="2"/>
    <x v="1"/>
    <x v="510"/>
    <n v="15494127"/>
    <n v="19113"/>
    <x v="198"/>
    <n v="61282"/>
    <n v="504195"/>
    <n v="26582"/>
    <n v="23205"/>
    <n v="1755"/>
    <n v="635962"/>
    <n v="17298"/>
    <n v="6989"/>
    <n v="1487320"/>
    <n v="20.190000000000001"/>
    <n v="26077355"/>
    <n v="20720649"/>
    <n v="24522881"/>
    <n v="4.78"/>
    <n v="9.1199999999999992"/>
    <n v="299"/>
    <n v="1.98"/>
    <n v="71.73"/>
  </r>
  <r>
    <x v="0"/>
    <x v="2"/>
    <x v="0"/>
    <x v="511"/>
    <n v="35261183"/>
    <n v="554"/>
    <x v="248"/>
    <n v="48801"/>
    <n v="339592"/>
    <n v="5791"/>
    <n v="37422"/>
    <n v="888"/>
    <n v="311916"/>
    <n v="329195"/>
    <n v="5039"/>
    <n v="974283"/>
    <n v="12.97"/>
    <n v="45167640"/>
    <n v="24237732"/>
    <n v="23231044"/>
    <n v="24.65"/>
    <n v="9.25"/>
    <n v="585"/>
    <n v="3.28"/>
    <n v="83.4"/>
  </r>
  <r>
    <x v="1"/>
    <x v="2"/>
    <x v="4"/>
    <x v="512"/>
    <n v="32207157"/>
    <n v="9863"/>
    <x v="214"/>
    <n v="10465"/>
    <n v="957010"/>
    <n v="8458"/>
    <n v="47744"/>
    <n v="990"/>
    <n v="138480"/>
    <n v="394968"/>
    <n v="9771"/>
    <n v="741176"/>
    <n v="24.5"/>
    <n v="18764168"/>
    <n v="8527574"/>
    <n v="23029662"/>
    <n v="14.32"/>
    <n v="5.58"/>
    <n v="3582"/>
    <n v="4.55"/>
    <n v="1.31"/>
  </r>
  <r>
    <x v="5"/>
    <x v="2"/>
    <x v="3"/>
    <x v="513"/>
    <n v="1453692"/>
    <n v="14721"/>
    <x v="54"/>
    <n v="4326"/>
    <n v="376574"/>
    <n v="17221"/>
    <n v="44108"/>
    <n v="1170"/>
    <n v="404560"/>
    <n v="436941"/>
    <n v="6324"/>
    <n v="83641"/>
    <n v="5.89"/>
    <n v="3093606"/>
    <n v="7386105"/>
    <n v="12306165"/>
    <n v="55.79"/>
    <n v="5.36"/>
    <n v="3599"/>
    <n v="2.14"/>
    <n v="35.450000000000003"/>
  </r>
  <r>
    <x v="2"/>
    <x v="3"/>
    <x v="2"/>
    <x v="514"/>
    <n v="17494986"/>
    <n v="10788"/>
    <x v="87"/>
    <n v="4659"/>
    <n v="744264"/>
    <n v="48506"/>
    <n v="22267"/>
    <n v="258"/>
    <n v="838387"/>
    <n v="258566"/>
    <n v="9395"/>
    <n v="1789019"/>
    <n v="6.15"/>
    <n v="40440509"/>
    <n v="22726922"/>
    <n v="25924163"/>
    <n v="18.489999999999998"/>
    <n v="3.02"/>
    <n v="507"/>
    <n v="1.64"/>
    <n v="74.28"/>
  </r>
  <r>
    <x v="1"/>
    <x v="1"/>
    <x v="1"/>
    <x v="515"/>
    <n v="22114133"/>
    <n v="11236"/>
    <x v="249"/>
    <n v="61289"/>
    <n v="461522"/>
    <n v="20968"/>
    <n v="4404"/>
    <n v="291"/>
    <n v="593235"/>
    <n v="479298"/>
    <n v="2823"/>
    <n v="1781246"/>
    <n v="19.37"/>
    <n v="5769764"/>
    <n v="6858839"/>
    <n v="1361349"/>
    <n v="3.89"/>
    <n v="9.39"/>
    <n v="2788"/>
    <n v="2"/>
    <n v="7.8"/>
  </r>
  <r>
    <x v="5"/>
    <x v="0"/>
    <x v="2"/>
    <x v="516"/>
    <n v="41023561"/>
    <n v="6823"/>
    <x v="250"/>
    <n v="28594"/>
    <n v="930809"/>
    <n v="17070"/>
    <n v="36312"/>
    <n v="1834"/>
    <n v="730387"/>
    <n v="18840"/>
    <n v="5287"/>
    <n v="1589321"/>
    <n v="25.38"/>
    <n v="35406607"/>
    <n v="5405126"/>
    <n v="7760854"/>
    <n v="3.6"/>
    <n v="4.8499999999999996"/>
    <n v="3419"/>
    <n v="2.23"/>
    <n v="56.73"/>
  </r>
  <r>
    <x v="0"/>
    <x v="2"/>
    <x v="0"/>
    <x v="517"/>
    <n v="32901727"/>
    <n v="3866"/>
    <x v="251"/>
    <n v="5763"/>
    <n v="666329"/>
    <n v="27937"/>
    <n v="22238"/>
    <n v="142"/>
    <n v="339752"/>
    <n v="266054"/>
    <n v="3285"/>
    <n v="43311"/>
    <n v="14.17"/>
    <n v="18962212"/>
    <n v="9356913"/>
    <n v="18389996"/>
    <n v="83.16"/>
    <n v="1.71"/>
    <n v="4185"/>
    <n v="0.46"/>
    <n v="42.91"/>
  </r>
  <r>
    <x v="3"/>
    <x v="1"/>
    <x v="2"/>
    <x v="518"/>
    <n v="11325853"/>
    <n v="767"/>
    <x v="252"/>
    <n v="11828"/>
    <n v="275548"/>
    <n v="49508"/>
    <n v="12398"/>
    <n v="1960"/>
    <n v="436782"/>
    <n v="385987"/>
    <n v="7433"/>
    <n v="1971060"/>
    <n v="21.81"/>
    <n v="28035403"/>
    <n v="2219540"/>
    <n v="16838546"/>
    <n v="59.14"/>
    <n v="4.6100000000000003"/>
    <n v="3746"/>
    <n v="2.54"/>
    <n v="1.76"/>
  </r>
  <r>
    <x v="0"/>
    <x v="1"/>
    <x v="0"/>
    <x v="519"/>
    <n v="17015348"/>
    <n v="11726"/>
    <x v="101"/>
    <n v="48588"/>
    <n v="403205"/>
    <n v="41831"/>
    <n v="11329"/>
    <n v="746"/>
    <n v="226801"/>
    <n v="409885"/>
    <n v="6174"/>
    <n v="1201534"/>
    <n v="29.98"/>
    <n v="23158423"/>
    <n v="10689268"/>
    <n v="11279743"/>
    <n v="35.81"/>
    <n v="1.71"/>
    <n v="3461"/>
    <n v="2.52"/>
    <n v="23.6"/>
  </r>
  <r>
    <x v="1"/>
    <x v="0"/>
    <x v="2"/>
    <x v="520"/>
    <n v="31843819"/>
    <n v="4484"/>
    <x v="180"/>
    <n v="12221"/>
    <n v="459521"/>
    <n v="42933"/>
    <n v="6485"/>
    <n v="626"/>
    <n v="825265"/>
    <n v="258408"/>
    <n v="4826"/>
    <n v="1519904"/>
    <n v="29.71"/>
    <n v="26344217"/>
    <n v="9013678"/>
    <n v="6275178"/>
    <n v="89.42"/>
    <n v="5.27"/>
    <n v="4119"/>
    <n v="2.98"/>
    <n v="28.48"/>
  </r>
  <r>
    <x v="2"/>
    <x v="3"/>
    <x v="3"/>
    <x v="521"/>
    <n v="32979425"/>
    <n v="17092"/>
    <x v="78"/>
    <n v="12211"/>
    <n v="430199"/>
    <n v="47307"/>
    <n v="31565"/>
    <n v="1388"/>
    <n v="345673"/>
    <n v="99955"/>
    <n v="3664"/>
    <n v="1493669"/>
    <n v="22.33"/>
    <n v="43462163"/>
    <n v="24899555"/>
    <n v="17140332"/>
    <n v="7.02"/>
    <n v="5.83"/>
    <n v="3437"/>
    <n v="1.88"/>
    <n v="11.19"/>
  </r>
  <r>
    <x v="4"/>
    <x v="4"/>
    <x v="3"/>
    <x v="522"/>
    <n v="23187400"/>
    <n v="5107"/>
    <x v="175"/>
    <n v="14569"/>
    <n v="766644"/>
    <n v="48340"/>
    <n v="18168"/>
    <n v="89"/>
    <n v="302341"/>
    <n v="210292"/>
    <n v="497"/>
    <n v="1697437"/>
    <n v="22.19"/>
    <n v="47790728"/>
    <n v="7579375"/>
    <n v="1430343"/>
    <n v="98.03"/>
    <n v="3.71"/>
    <n v="3235"/>
    <n v="3.1"/>
    <n v="63.15"/>
  </r>
  <r>
    <x v="1"/>
    <x v="4"/>
    <x v="3"/>
    <x v="523"/>
    <n v="33055703"/>
    <n v="5044"/>
    <x v="207"/>
    <n v="38860"/>
    <n v="171534"/>
    <n v="37415"/>
    <n v="14738"/>
    <n v="719"/>
    <n v="804566"/>
    <n v="289027"/>
    <n v="7641"/>
    <n v="360571"/>
    <n v="7.43"/>
    <n v="28913510"/>
    <n v="37136302"/>
    <n v="16237708"/>
    <n v="61.63"/>
    <n v="1.18"/>
    <n v="3288"/>
    <n v="4.4000000000000004"/>
    <n v="24.24"/>
  </r>
  <r>
    <x v="4"/>
    <x v="1"/>
    <x v="3"/>
    <x v="524"/>
    <n v="19067224"/>
    <n v="4284"/>
    <x v="247"/>
    <n v="46337"/>
    <n v="282504"/>
    <n v="42770"/>
    <n v="44784"/>
    <n v="1187"/>
    <n v="811493"/>
    <n v="121801"/>
    <n v="4643"/>
    <n v="1872189"/>
    <n v="25.01"/>
    <n v="47852062"/>
    <n v="2529195"/>
    <n v="2472512"/>
    <n v="18.350000000000001"/>
    <n v="9.4600000000000009"/>
    <n v="310"/>
    <n v="4.78"/>
    <n v="27.76"/>
  </r>
  <r>
    <x v="5"/>
    <x v="0"/>
    <x v="3"/>
    <x v="525"/>
    <n v="38567502"/>
    <n v="3814"/>
    <x v="184"/>
    <n v="53311"/>
    <n v="873089"/>
    <n v="20802"/>
    <n v="29555"/>
    <n v="480"/>
    <n v="411749"/>
    <n v="492381"/>
    <n v="5056"/>
    <n v="1213910"/>
    <n v="12.15"/>
    <n v="34776082"/>
    <n v="15312615"/>
    <n v="20956293"/>
    <n v="67.91"/>
    <n v="7.85"/>
    <n v="1297"/>
    <n v="2.96"/>
    <n v="89.82"/>
  </r>
  <r>
    <x v="3"/>
    <x v="4"/>
    <x v="3"/>
    <x v="526"/>
    <n v="27004354"/>
    <n v="11231"/>
    <x v="160"/>
    <n v="14515"/>
    <n v="420503"/>
    <n v="43601"/>
    <n v="31110"/>
    <n v="83"/>
    <n v="55563"/>
    <n v="340291"/>
    <n v="131"/>
    <n v="1968027"/>
    <n v="28.86"/>
    <n v="22762643"/>
    <n v="30175933"/>
    <n v="6618991"/>
    <n v="76.34"/>
    <n v="8.4700000000000006"/>
    <n v="3383"/>
    <n v="0.31"/>
    <n v="46.71"/>
  </r>
  <r>
    <x v="6"/>
    <x v="1"/>
    <x v="0"/>
    <x v="527"/>
    <n v="21744167"/>
    <n v="4687"/>
    <x v="253"/>
    <n v="25904"/>
    <n v="197544"/>
    <n v="10420"/>
    <n v="16160"/>
    <n v="1100"/>
    <n v="812853"/>
    <n v="271715"/>
    <n v="5443"/>
    <n v="394238"/>
    <n v="2.44"/>
    <n v="33578454"/>
    <n v="20289601"/>
    <n v="24484349"/>
    <n v="42.93"/>
    <n v="3.99"/>
    <n v="3372"/>
    <n v="4.8499999999999996"/>
    <n v="39.21"/>
  </r>
  <r>
    <x v="0"/>
    <x v="3"/>
    <x v="1"/>
    <x v="528"/>
    <n v="44624953"/>
    <n v="2154"/>
    <x v="70"/>
    <n v="60935"/>
    <n v="247512"/>
    <n v="6642"/>
    <n v="33224"/>
    <n v="672"/>
    <n v="544128"/>
    <n v="110871"/>
    <n v="857"/>
    <n v="788560"/>
    <n v="13.08"/>
    <n v="46221802"/>
    <n v="18815947"/>
    <n v="5890714"/>
    <n v="86.16"/>
    <n v="7.73"/>
    <n v="2623"/>
    <n v="3.56"/>
    <n v="72.39"/>
  </r>
  <r>
    <x v="3"/>
    <x v="4"/>
    <x v="2"/>
    <x v="529"/>
    <n v="1978768"/>
    <n v="9497"/>
    <x v="228"/>
    <n v="44790"/>
    <n v="765325"/>
    <n v="19775"/>
    <n v="32886"/>
    <n v="516"/>
    <n v="587569"/>
    <n v="6263"/>
    <n v="8712"/>
    <n v="1653386"/>
    <n v="16.68"/>
    <n v="6175002"/>
    <n v="21625209"/>
    <n v="12445774"/>
    <n v="15.07"/>
    <n v="5.1100000000000003"/>
    <n v="175"/>
    <n v="1.75"/>
    <n v="90.96"/>
  </r>
  <r>
    <x v="1"/>
    <x v="1"/>
    <x v="3"/>
    <x v="530"/>
    <n v="10453821"/>
    <n v="10724"/>
    <x v="254"/>
    <n v="69580"/>
    <n v="979817"/>
    <n v="28754"/>
    <n v="3249"/>
    <n v="484"/>
    <n v="801833"/>
    <n v="456403"/>
    <n v="8221"/>
    <n v="1212970"/>
    <n v="12.15"/>
    <n v="20531028"/>
    <n v="30045974"/>
    <n v="587699"/>
    <n v="27.88"/>
    <n v="2.41"/>
    <n v="1279"/>
    <n v="0.82"/>
    <n v="2.5"/>
  </r>
  <r>
    <x v="4"/>
    <x v="1"/>
    <x v="0"/>
    <x v="531"/>
    <n v="15508832"/>
    <n v="19041"/>
    <x v="69"/>
    <n v="6636"/>
    <n v="35160"/>
    <n v="43310"/>
    <n v="38709"/>
    <n v="1613"/>
    <n v="11138"/>
    <n v="324315"/>
    <n v="6147"/>
    <n v="49929"/>
    <n v="6.32"/>
    <n v="29763371"/>
    <n v="29719966"/>
    <n v="764797"/>
    <n v="9.35"/>
    <n v="1.68"/>
    <n v="3261"/>
    <n v="0.8"/>
    <n v="44.82"/>
  </r>
  <r>
    <x v="0"/>
    <x v="2"/>
    <x v="0"/>
    <x v="532"/>
    <n v="26353976"/>
    <n v="8435"/>
    <x v="200"/>
    <n v="3892"/>
    <n v="269933"/>
    <n v="4357"/>
    <n v="36831"/>
    <n v="1626"/>
    <n v="218486"/>
    <n v="16165"/>
    <n v="4604"/>
    <n v="606984"/>
    <n v="17.79"/>
    <n v="47820912"/>
    <n v="26145753"/>
    <n v="11607521"/>
    <n v="21.09"/>
    <n v="3.78"/>
    <n v="3183"/>
    <n v="0.92"/>
    <n v="61.08"/>
  </r>
  <r>
    <x v="4"/>
    <x v="3"/>
    <x v="0"/>
    <x v="533"/>
    <n v="34457412"/>
    <n v="12049"/>
    <x v="2"/>
    <n v="22672"/>
    <n v="159253"/>
    <n v="21263"/>
    <n v="30625"/>
    <n v="1622"/>
    <n v="306968"/>
    <n v="384567"/>
    <n v="9452"/>
    <n v="378389"/>
    <n v="22.68"/>
    <n v="396742"/>
    <n v="33767168"/>
    <n v="29344255"/>
    <n v="23.87"/>
    <n v="1.81"/>
    <n v="1356"/>
    <n v="0.32"/>
    <n v="31.86"/>
  </r>
  <r>
    <x v="2"/>
    <x v="2"/>
    <x v="1"/>
    <x v="534"/>
    <n v="26704160"/>
    <n v="3769"/>
    <x v="155"/>
    <n v="6812"/>
    <n v="670745"/>
    <n v="48367"/>
    <n v="13756"/>
    <n v="781"/>
    <n v="351000"/>
    <n v="241362"/>
    <n v="1558"/>
    <n v="797240"/>
    <n v="19.350000000000001"/>
    <n v="43298121"/>
    <n v="32063094"/>
    <n v="13082873"/>
    <n v="91.76"/>
    <n v="9.98"/>
    <n v="2151"/>
    <n v="4.5199999999999996"/>
    <n v="77.239999999999995"/>
  </r>
  <r>
    <x v="4"/>
    <x v="0"/>
    <x v="2"/>
    <x v="535"/>
    <n v="28544174"/>
    <n v="2631"/>
    <x v="219"/>
    <n v="1654"/>
    <n v="870029"/>
    <n v="13201"/>
    <n v="20931"/>
    <n v="103"/>
    <n v="222168"/>
    <n v="380213"/>
    <n v="15"/>
    <n v="1669012"/>
    <n v="7.03"/>
    <n v="7863550"/>
    <n v="34033171"/>
    <n v="5899128"/>
    <n v="7.81"/>
    <n v="0.97"/>
    <n v="185"/>
    <n v="2.75"/>
    <n v="97.15"/>
  </r>
  <r>
    <x v="2"/>
    <x v="2"/>
    <x v="1"/>
    <x v="536"/>
    <n v="10057540"/>
    <n v="18999"/>
    <x v="255"/>
    <n v="55633"/>
    <n v="66641"/>
    <n v="2739"/>
    <n v="22755"/>
    <n v="1475"/>
    <n v="295286"/>
    <n v="345700"/>
    <n v="3605"/>
    <n v="447098"/>
    <n v="21.95"/>
    <n v="20907606"/>
    <n v="7982529"/>
    <n v="21472255"/>
    <n v="42.74"/>
    <n v="4.6900000000000004"/>
    <n v="2427"/>
    <n v="3.53"/>
    <n v="94.34"/>
  </r>
  <r>
    <x v="5"/>
    <x v="2"/>
    <x v="4"/>
    <x v="537"/>
    <n v="24834476"/>
    <n v="2813"/>
    <x v="9"/>
    <n v="18143"/>
    <n v="831679"/>
    <n v="13231"/>
    <n v="1255"/>
    <n v="1510"/>
    <n v="516018"/>
    <n v="497821"/>
    <n v="1607"/>
    <n v="809157"/>
    <n v="7.71"/>
    <n v="33330574"/>
    <n v="2028366"/>
    <n v="21099094"/>
    <n v="53.24"/>
    <n v="4.79"/>
    <n v="1509"/>
    <n v="4.16"/>
    <n v="26.6"/>
  </r>
  <r>
    <x v="0"/>
    <x v="4"/>
    <x v="0"/>
    <x v="538"/>
    <n v="15222791"/>
    <n v="6041"/>
    <x v="256"/>
    <n v="56934"/>
    <n v="611961"/>
    <n v="42278"/>
    <n v="46617"/>
    <n v="338"/>
    <n v="550166"/>
    <n v="249024"/>
    <n v="5935"/>
    <n v="1384254"/>
    <n v="5.26"/>
    <n v="19952477"/>
    <n v="21628523"/>
    <n v="3858223"/>
    <n v="89.87"/>
    <n v="3.36"/>
    <n v="4281"/>
    <n v="3.98"/>
    <n v="22.63"/>
  </r>
  <r>
    <x v="0"/>
    <x v="1"/>
    <x v="4"/>
    <x v="539"/>
    <n v="14663844"/>
    <n v="10581"/>
    <x v="54"/>
    <n v="68334"/>
    <n v="232322"/>
    <n v="42495"/>
    <n v="24863"/>
    <n v="686"/>
    <n v="837799"/>
    <n v="179520"/>
    <n v="2016"/>
    <n v="1351670"/>
    <n v="20.72"/>
    <n v="47417953"/>
    <n v="18728124"/>
    <n v="17855216"/>
    <n v="99.77"/>
    <n v="5.93"/>
    <n v="862"/>
    <n v="4.42"/>
    <n v="95.75"/>
  </r>
  <r>
    <x v="6"/>
    <x v="3"/>
    <x v="3"/>
    <x v="540"/>
    <n v="40987099"/>
    <n v="19840"/>
    <x v="257"/>
    <n v="30087"/>
    <n v="268688"/>
    <n v="21168"/>
    <n v="27642"/>
    <n v="1589"/>
    <n v="336330"/>
    <n v="281398"/>
    <n v="3574"/>
    <n v="1793890"/>
    <n v="25.28"/>
    <n v="30558092"/>
    <n v="15684191"/>
    <n v="11575895"/>
    <n v="75.34"/>
    <n v="1.92"/>
    <n v="901"/>
    <n v="4.84"/>
    <n v="45.86"/>
  </r>
  <r>
    <x v="1"/>
    <x v="2"/>
    <x v="3"/>
    <x v="541"/>
    <n v="10337695"/>
    <n v="11114"/>
    <x v="221"/>
    <n v="12618"/>
    <n v="772143"/>
    <n v="32624"/>
    <n v="12866"/>
    <n v="899"/>
    <n v="305519"/>
    <n v="367947"/>
    <n v="7274"/>
    <n v="84576"/>
    <n v="14.45"/>
    <n v="2832003"/>
    <n v="38862867"/>
    <n v="21482446"/>
    <n v="97.08"/>
    <n v="7.95"/>
    <n v="1794"/>
    <n v="2.25"/>
    <n v="20.83"/>
  </r>
  <r>
    <x v="2"/>
    <x v="3"/>
    <x v="1"/>
    <x v="542"/>
    <n v="2608542"/>
    <n v="11362"/>
    <x v="258"/>
    <n v="9446"/>
    <n v="407491"/>
    <n v="10635"/>
    <n v="5115"/>
    <n v="1501"/>
    <n v="118671"/>
    <n v="20329"/>
    <n v="9935"/>
    <n v="21557"/>
    <n v="15.94"/>
    <n v="31292215"/>
    <n v="32559485"/>
    <n v="17025506"/>
    <n v="78.709999999999994"/>
    <n v="3.66"/>
    <n v="1988"/>
    <n v="4.76"/>
    <n v="70.7"/>
  </r>
  <r>
    <x v="6"/>
    <x v="2"/>
    <x v="2"/>
    <x v="543"/>
    <n v="40976928"/>
    <n v="4830"/>
    <x v="21"/>
    <n v="49867"/>
    <n v="761649"/>
    <n v="9964"/>
    <n v="35700"/>
    <n v="1746"/>
    <n v="362705"/>
    <n v="314831"/>
    <n v="3791"/>
    <n v="547113"/>
    <n v="9.08"/>
    <n v="1035670"/>
    <n v="33145440"/>
    <n v="26487619"/>
    <n v="96.32"/>
    <n v="6.12"/>
    <n v="920"/>
    <n v="3.64"/>
    <n v="28.44"/>
  </r>
  <r>
    <x v="4"/>
    <x v="0"/>
    <x v="4"/>
    <x v="544"/>
    <n v="9826243"/>
    <n v="4227"/>
    <x v="35"/>
    <n v="52028"/>
    <n v="588536"/>
    <n v="27785"/>
    <n v="2523"/>
    <n v="606"/>
    <n v="739589"/>
    <n v="250570"/>
    <n v="6406"/>
    <n v="1320718"/>
    <n v="14.84"/>
    <n v="25266784"/>
    <n v="12854513"/>
    <n v="15095979"/>
    <n v="70.73"/>
    <n v="7.3"/>
    <n v="684"/>
    <n v="0.45"/>
    <n v="26.72"/>
  </r>
  <r>
    <x v="4"/>
    <x v="2"/>
    <x v="2"/>
    <x v="545"/>
    <n v="18663905"/>
    <n v="15219"/>
    <x v="259"/>
    <n v="61101"/>
    <n v="297694"/>
    <n v="29510"/>
    <n v="2811"/>
    <n v="222"/>
    <n v="589165"/>
    <n v="311957"/>
    <n v="1088"/>
    <n v="37080"/>
    <n v="3.96"/>
    <n v="22602849"/>
    <n v="32801922"/>
    <n v="8043364"/>
    <n v="7.98"/>
    <n v="8.9499999999999993"/>
    <n v="718"/>
    <n v="3.44"/>
    <n v="87.92"/>
  </r>
  <r>
    <x v="6"/>
    <x v="4"/>
    <x v="1"/>
    <x v="546"/>
    <n v="46259166"/>
    <n v="6526"/>
    <x v="121"/>
    <n v="28200"/>
    <n v="841125"/>
    <n v="17261"/>
    <n v="32355"/>
    <n v="1032"/>
    <n v="785127"/>
    <n v="158169"/>
    <n v="1361"/>
    <n v="1832679"/>
    <n v="28.67"/>
    <n v="39993633"/>
    <n v="5645916"/>
    <n v="18335760"/>
    <n v="40.19"/>
    <n v="8.44"/>
    <n v="1343"/>
    <n v="3.46"/>
    <n v="16.25"/>
  </r>
  <r>
    <x v="0"/>
    <x v="1"/>
    <x v="3"/>
    <x v="547"/>
    <n v="45510023"/>
    <n v="19038"/>
    <x v="189"/>
    <n v="62465"/>
    <n v="916356"/>
    <n v="19254"/>
    <n v="13905"/>
    <n v="1076"/>
    <n v="579479"/>
    <n v="21201"/>
    <n v="4473"/>
    <n v="1238445"/>
    <n v="24.01"/>
    <n v="1152738"/>
    <n v="1474542"/>
    <n v="29632222"/>
    <n v="64.66"/>
    <n v="6.28"/>
    <n v="3138"/>
    <n v="4.54"/>
    <n v="6.44"/>
  </r>
  <r>
    <x v="4"/>
    <x v="0"/>
    <x v="2"/>
    <x v="548"/>
    <n v="36900662"/>
    <n v="2432"/>
    <x v="163"/>
    <n v="40148"/>
    <n v="413857"/>
    <n v="11392"/>
    <n v="39759"/>
    <n v="1100"/>
    <n v="458019"/>
    <n v="40491"/>
    <n v="5294"/>
    <n v="1720738"/>
    <n v="20.04"/>
    <n v="34733712"/>
    <n v="20293210"/>
    <n v="20583717"/>
    <n v="35.07"/>
    <n v="4.1900000000000004"/>
    <n v="318"/>
    <n v="1.93"/>
    <n v="26.92"/>
  </r>
  <r>
    <x v="5"/>
    <x v="2"/>
    <x v="2"/>
    <x v="549"/>
    <n v="14470696"/>
    <n v="16965"/>
    <x v="260"/>
    <n v="21698"/>
    <n v="203821"/>
    <n v="12336"/>
    <n v="8231"/>
    <n v="1741"/>
    <n v="454555"/>
    <n v="207035"/>
    <n v="7106"/>
    <n v="1978247"/>
    <n v="16.149999999999999"/>
    <n v="24272027"/>
    <n v="2331770"/>
    <n v="2619189"/>
    <n v="27.34"/>
    <n v="5.28"/>
    <n v="910"/>
    <n v="2.97"/>
    <n v="60.69"/>
  </r>
  <r>
    <x v="5"/>
    <x v="3"/>
    <x v="3"/>
    <x v="550"/>
    <n v="19395649"/>
    <n v="12558"/>
    <x v="74"/>
    <n v="43470"/>
    <n v="781237"/>
    <n v="11939"/>
    <n v="6048"/>
    <n v="502"/>
    <n v="311707"/>
    <n v="72823"/>
    <n v="7319"/>
    <n v="494844"/>
    <n v="23.77"/>
    <n v="8866573"/>
    <n v="24630711"/>
    <n v="6358234"/>
    <n v="57.74"/>
    <n v="7.8"/>
    <n v="531"/>
    <n v="0.16"/>
    <n v="12.31"/>
  </r>
  <r>
    <x v="6"/>
    <x v="0"/>
    <x v="4"/>
    <x v="551"/>
    <n v="6053535"/>
    <n v="684"/>
    <x v="143"/>
    <n v="52660"/>
    <n v="867453"/>
    <n v="27412"/>
    <n v="32041"/>
    <n v="1339"/>
    <n v="616570"/>
    <n v="226393"/>
    <n v="8667"/>
    <n v="1616271"/>
    <n v="14.84"/>
    <n v="11139695"/>
    <n v="12227486"/>
    <n v="29128069"/>
    <n v="93.35"/>
    <n v="8.84"/>
    <n v="3340"/>
    <n v="1.73"/>
    <n v="47.16"/>
  </r>
  <r>
    <x v="2"/>
    <x v="0"/>
    <x v="3"/>
    <x v="552"/>
    <n v="4178621"/>
    <n v="12046"/>
    <x v="189"/>
    <n v="54910"/>
    <n v="278749"/>
    <n v="16676"/>
    <n v="15092"/>
    <n v="1837"/>
    <n v="784684"/>
    <n v="190577"/>
    <n v="9481"/>
    <n v="1169859"/>
    <n v="9"/>
    <n v="38393674"/>
    <n v="902562"/>
    <n v="26691461"/>
    <n v="3.5"/>
    <n v="1.49"/>
    <n v="3440"/>
    <n v="0.4"/>
    <n v="62.73"/>
  </r>
  <r>
    <x v="2"/>
    <x v="2"/>
    <x v="2"/>
    <x v="553"/>
    <n v="38611198"/>
    <n v="14212"/>
    <x v="194"/>
    <n v="36450"/>
    <n v="497389"/>
    <n v="9843"/>
    <n v="14658"/>
    <n v="821"/>
    <n v="78843"/>
    <n v="166120"/>
    <n v="8520"/>
    <n v="14338"/>
    <n v="4.8099999999999996"/>
    <n v="12975800"/>
    <n v="4407577"/>
    <n v="3504179"/>
    <n v="76.92"/>
    <n v="4.16"/>
    <n v="1311"/>
    <n v="2.66"/>
    <n v="84.87"/>
  </r>
  <r>
    <x v="6"/>
    <x v="0"/>
    <x v="4"/>
    <x v="554"/>
    <n v="15574661"/>
    <n v="16436"/>
    <x v="32"/>
    <n v="57463"/>
    <n v="51713"/>
    <n v="45591"/>
    <n v="374"/>
    <n v="1865"/>
    <n v="345715"/>
    <n v="362508"/>
    <n v="1186"/>
    <n v="601577"/>
    <n v="19.43"/>
    <n v="13325004"/>
    <n v="21259264"/>
    <n v="9267214"/>
    <n v="72.27"/>
    <n v="7.87"/>
    <n v="2382"/>
    <n v="4.1100000000000003"/>
    <n v="22.99"/>
  </r>
  <r>
    <x v="2"/>
    <x v="3"/>
    <x v="4"/>
    <x v="555"/>
    <n v="40281450"/>
    <n v="14055"/>
    <x v="261"/>
    <n v="34757"/>
    <n v="414606"/>
    <n v="25112"/>
    <n v="34578"/>
    <n v="623"/>
    <n v="646187"/>
    <n v="446347"/>
    <n v="3414"/>
    <n v="1514312"/>
    <n v="27.88"/>
    <n v="49112440"/>
    <n v="19136419"/>
    <n v="1098168"/>
    <n v="96.4"/>
    <n v="4.5999999999999996"/>
    <n v="152"/>
    <n v="1.1100000000000001"/>
    <n v="81.73"/>
  </r>
  <r>
    <x v="0"/>
    <x v="0"/>
    <x v="3"/>
    <x v="556"/>
    <n v="22277762"/>
    <n v="8447"/>
    <x v="72"/>
    <n v="32390"/>
    <n v="338547"/>
    <n v="30598"/>
    <n v="14120"/>
    <n v="1886"/>
    <n v="556145"/>
    <n v="300165"/>
    <n v="5486"/>
    <n v="1723831"/>
    <n v="4.6100000000000003"/>
    <n v="41485761"/>
    <n v="28740939"/>
    <n v="27481199"/>
    <n v="93.07"/>
    <n v="3.66"/>
    <n v="3844"/>
    <n v="2.68"/>
    <n v="23.49"/>
  </r>
  <r>
    <x v="0"/>
    <x v="3"/>
    <x v="2"/>
    <x v="557"/>
    <n v="10186599"/>
    <n v="12377"/>
    <x v="149"/>
    <n v="57116"/>
    <n v="845898"/>
    <n v="35454"/>
    <n v="5968"/>
    <n v="164"/>
    <n v="465554"/>
    <n v="465887"/>
    <n v="3536"/>
    <n v="179982"/>
    <n v="5.4"/>
    <n v="33960929"/>
    <n v="3469398"/>
    <n v="9625589"/>
    <n v="76.22"/>
    <n v="4.41"/>
    <n v="4937"/>
    <n v="1.1000000000000001"/>
    <n v="67.680000000000007"/>
  </r>
  <r>
    <x v="2"/>
    <x v="2"/>
    <x v="1"/>
    <x v="558"/>
    <n v="7471138"/>
    <n v="14444"/>
    <x v="262"/>
    <n v="14161"/>
    <n v="529269"/>
    <n v="33001"/>
    <n v="9106"/>
    <n v="1302"/>
    <n v="819246"/>
    <n v="470323"/>
    <n v="1773"/>
    <n v="1967037"/>
    <n v="13.01"/>
    <n v="12842100"/>
    <n v="10211992"/>
    <n v="2629479"/>
    <n v="52.04"/>
    <n v="6.23"/>
    <n v="4384"/>
    <n v="0.69"/>
    <n v="43.07"/>
  </r>
  <r>
    <x v="5"/>
    <x v="1"/>
    <x v="2"/>
    <x v="559"/>
    <n v="30950573"/>
    <n v="2940"/>
    <x v="80"/>
    <n v="33152"/>
    <n v="927997"/>
    <n v="27228"/>
    <n v="7446"/>
    <n v="1050"/>
    <n v="442413"/>
    <n v="290704"/>
    <n v="5415"/>
    <n v="1158943"/>
    <n v="24.21"/>
    <n v="11779676"/>
    <n v="38810461"/>
    <n v="19013638"/>
    <n v="20.43"/>
    <n v="10"/>
    <n v="2742"/>
    <n v="2.6"/>
    <n v="11.47"/>
  </r>
  <r>
    <x v="2"/>
    <x v="0"/>
    <x v="0"/>
    <x v="560"/>
    <n v="49291739"/>
    <n v="10908"/>
    <x v="119"/>
    <n v="21836"/>
    <n v="989722"/>
    <n v="14429"/>
    <n v="21187"/>
    <n v="1093"/>
    <n v="595071"/>
    <n v="414387"/>
    <n v="2558"/>
    <n v="329042"/>
    <n v="8.82"/>
    <n v="10518308"/>
    <n v="35813050"/>
    <n v="10651186"/>
    <n v="54.52"/>
    <n v="5.18"/>
    <n v="3721"/>
    <n v="0.49"/>
    <n v="71.430000000000007"/>
  </r>
  <r>
    <x v="0"/>
    <x v="1"/>
    <x v="1"/>
    <x v="561"/>
    <n v="44257228"/>
    <n v="8076"/>
    <x v="180"/>
    <n v="67543"/>
    <n v="989822"/>
    <n v="18758"/>
    <n v="26764"/>
    <n v="1241"/>
    <n v="60067"/>
    <n v="197290"/>
    <n v="5907"/>
    <n v="921958"/>
    <n v="7.62"/>
    <n v="34565835"/>
    <n v="9388817"/>
    <n v="22790969"/>
    <n v="76.540000000000006"/>
    <n v="2.48"/>
    <n v="931"/>
    <n v="2.98"/>
    <n v="21.78"/>
  </r>
  <r>
    <x v="3"/>
    <x v="3"/>
    <x v="4"/>
    <x v="562"/>
    <n v="44550399"/>
    <n v="3356"/>
    <x v="39"/>
    <n v="56648"/>
    <n v="903063"/>
    <n v="2272"/>
    <n v="24554"/>
    <n v="1985"/>
    <n v="309650"/>
    <n v="179454"/>
    <n v="5079"/>
    <n v="1691350"/>
    <n v="18.600000000000001"/>
    <n v="13999609"/>
    <n v="25277992"/>
    <n v="22286064"/>
    <n v="89.57"/>
    <n v="2.0499999999999998"/>
    <n v="2285"/>
    <n v="0.25"/>
    <n v="17.66"/>
  </r>
  <r>
    <x v="1"/>
    <x v="0"/>
    <x v="1"/>
    <x v="563"/>
    <n v="42661441"/>
    <n v="947"/>
    <x v="79"/>
    <n v="27331"/>
    <n v="382382"/>
    <n v="17350"/>
    <n v="12648"/>
    <n v="1388"/>
    <n v="238278"/>
    <n v="91825"/>
    <n v="9454"/>
    <n v="1398260"/>
    <n v="16.07"/>
    <n v="22695100"/>
    <n v="24471171"/>
    <n v="27051252"/>
    <n v="78.97"/>
    <n v="0.9"/>
    <n v="3084"/>
    <n v="0.62"/>
    <n v="35.83"/>
  </r>
  <r>
    <x v="4"/>
    <x v="4"/>
    <x v="4"/>
    <x v="564"/>
    <n v="26650956"/>
    <n v="9327"/>
    <x v="130"/>
    <n v="11763"/>
    <n v="96335"/>
    <n v="22538"/>
    <n v="189"/>
    <n v="1724"/>
    <n v="142258"/>
    <n v="320689"/>
    <n v="6724"/>
    <n v="1544351"/>
    <n v="1.81"/>
    <n v="46362075"/>
    <n v="38407290"/>
    <n v="18877804"/>
    <n v="19.53"/>
    <n v="5.81"/>
    <n v="4939"/>
    <n v="2.79"/>
    <n v="65.33"/>
  </r>
  <r>
    <x v="3"/>
    <x v="1"/>
    <x v="4"/>
    <x v="565"/>
    <n v="9047900"/>
    <n v="9521"/>
    <x v="189"/>
    <n v="20187"/>
    <n v="108441"/>
    <n v="3400"/>
    <n v="3883"/>
    <n v="1868"/>
    <n v="586394"/>
    <n v="212239"/>
    <n v="5420"/>
    <n v="1788073"/>
    <n v="2.44"/>
    <n v="38952258"/>
    <n v="27741887"/>
    <n v="24735086"/>
    <n v="59.97"/>
    <n v="5.67"/>
    <n v="2627"/>
    <n v="3"/>
    <n v="23.4"/>
  </r>
  <r>
    <x v="2"/>
    <x v="0"/>
    <x v="1"/>
    <x v="566"/>
    <n v="31385970"/>
    <n v="14946"/>
    <x v="155"/>
    <n v="12957"/>
    <n v="17984"/>
    <n v="15371"/>
    <n v="17580"/>
    <n v="1970"/>
    <n v="281535"/>
    <n v="344452"/>
    <n v="3291"/>
    <n v="444853"/>
    <n v="19.29"/>
    <n v="41433033"/>
    <n v="7667143"/>
    <n v="21667737"/>
    <n v="33.22"/>
    <n v="2.4500000000000002"/>
    <n v="725"/>
    <n v="0.24"/>
    <n v="18.37"/>
  </r>
  <r>
    <x v="5"/>
    <x v="1"/>
    <x v="4"/>
    <x v="567"/>
    <n v="30356890"/>
    <n v="15290"/>
    <x v="263"/>
    <n v="5379"/>
    <n v="650868"/>
    <n v="37310"/>
    <n v="48233"/>
    <n v="1329"/>
    <n v="445831"/>
    <n v="448132"/>
    <n v="9210"/>
    <n v="1829919"/>
    <n v="13.95"/>
    <n v="13569203"/>
    <n v="8649649"/>
    <n v="7356089"/>
    <n v="0.92"/>
    <n v="7.11"/>
    <n v="2489"/>
    <n v="2.91"/>
    <n v="1"/>
  </r>
  <r>
    <x v="6"/>
    <x v="0"/>
    <x v="4"/>
    <x v="568"/>
    <n v="41599621"/>
    <n v="14733"/>
    <x v="210"/>
    <n v="28959"/>
    <n v="898748"/>
    <n v="36291"/>
    <n v="17167"/>
    <n v="1147"/>
    <n v="626520"/>
    <n v="368527"/>
    <n v="9981"/>
    <n v="661709"/>
    <n v="29.13"/>
    <n v="29775633"/>
    <n v="36856209"/>
    <n v="4719902"/>
    <n v="20.02"/>
    <n v="7.54"/>
    <n v="1731"/>
    <n v="4.21"/>
    <n v="47.16"/>
  </r>
  <r>
    <x v="2"/>
    <x v="2"/>
    <x v="0"/>
    <x v="569"/>
    <n v="12056367"/>
    <n v="720"/>
    <x v="127"/>
    <n v="28105"/>
    <n v="416976"/>
    <n v="18147"/>
    <n v="45575"/>
    <n v="18"/>
    <n v="716579"/>
    <n v="85879"/>
    <n v="3524"/>
    <n v="1961424"/>
    <n v="20.36"/>
    <n v="22271156"/>
    <n v="4296271"/>
    <n v="16379841"/>
    <n v="11.32"/>
    <n v="2.96"/>
    <n v="1326"/>
    <n v="3.64"/>
    <n v="42.86"/>
  </r>
  <r>
    <x v="5"/>
    <x v="1"/>
    <x v="2"/>
    <x v="570"/>
    <n v="42906977"/>
    <n v="17939"/>
    <x v="82"/>
    <n v="1877"/>
    <n v="657884"/>
    <n v="3291"/>
    <n v="4470"/>
    <n v="1280"/>
    <n v="816809"/>
    <n v="3160"/>
    <n v="3504"/>
    <n v="827395"/>
    <n v="0.3"/>
    <n v="18224062"/>
    <n v="393345"/>
    <n v="29828699"/>
    <n v="84.27"/>
    <n v="3.77"/>
    <n v="4817"/>
    <n v="0.74"/>
    <n v="23.39"/>
  </r>
  <r>
    <x v="1"/>
    <x v="4"/>
    <x v="2"/>
    <x v="571"/>
    <n v="15775664"/>
    <n v="11817"/>
    <x v="264"/>
    <n v="49353"/>
    <n v="643742"/>
    <n v="35256"/>
    <n v="48094"/>
    <n v="1319"/>
    <n v="249965"/>
    <n v="125906"/>
    <n v="8998"/>
    <n v="994087"/>
    <n v="14.43"/>
    <n v="25265844"/>
    <n v="9759011"/>
    <n v="10206313"/>
    <n v="25.85"/>
    <n v="9.91"/>
    <n v="3297"/>
    <n v="3"/>
    <n v="5.37"/>
  </r>
  <r>
    <x v="2"/>
    <x v="4"/>
    <x v="0"/>
    <x v="572"/>
    <n v="3181206"/>
    <n v="13056"/>
    <x v="152"/>
    <n v="52567"/>
    <n v="50402"/>
    <n v="10892"/>
    <n v="362"/>
    <n v="1951"/>
    <n v="225089"/>
    <n v="275975"/>
    <n v="5989"/>
    <n v="1450542"/>
    <n v="12.43"/>
    <n v="21603316"/>
    <n v="20230419"/>
    <n v="22799372"/>
    <n v="28.47"/>
    <n v="4.0599999999999996"/>
    <n v="4984"/>
    <n v="3.39"/>
    <n v="42.93"/>
  </r>
  <r>
    <x v="0"/>
    <x v="3"/>
    <x v="1"/>
    <x v="573"/>
    <n v="34242203"/>
    <n v="15818"/>
    <x v="120"/>
    <n v="58913"/>
    <n v="92656"/>
    <n v="34326"/>
    <n v="21596"/>
    <n v="1045"/>
    <n v="538814"/>
    <n v="340074"/>
    <n v="2666"/>
    <n v="358073"/>
    <n v="3.2"/>
    <n v="41400090"/>
    <n v="19123087"/>
    <n v="3736029"/>
    <n v="95.99"/>
    <n v="7.73"/>
    <n v="3698"/>
    <n v="0.28000000000000003"/>
    <n v="78.819999999999993"/>
  </r>
  <r>
    <x v="6"/>
    <x v="0"/>
    <x v="3"/>
    <x v="574"/>
    <n v="17514415"/>
    <n v="16683"/>
    <x v="265"/>
    <n v="3637"/>
    <n v="66614"/>
    <n v="37458"/>
    <n v="5354"/>
    <n v="1903"/>
    <n v="283066"/>
    <n v="115971"/>
    <n v="8596"/>
    <n v="1727399"/>
    <n v="27.7"/>
    <n v="46204190"/>
    <n v="36093303"/>
    <n v="17623670"/>
    <n v="37.909999999999997"/>
    <n v="4.8"/>
    <n v="1362"/>
    <n v="4.29"/>
    <n v="71.53"/>
  </r>
  <r>
    <x v="5"/>
    <x v="1"/>
    <x v="3"/>
    <x v="575"/>
    <n v="41344645"/>
    <n v="1942"/>
    <x v="266"/>
    <n v="43025"/>
    <n v="167963"/>
    <n v="38889"/>
    <n v="4517"/>
    <n v="988"/>
    <n v="296125"/>
    <n v="20819"/>
    <n v="7140"/>
    <n v="600223"/>
    <n v="24.15"/>
    <n v="8831593"/>
    <n v="33713053"/>
    <n v="19538634"/>
    <n v="0.96"/>
    <n v="8.0399999999999991"/>
    <n v="1123"/>
    <n v="4.54"/>
    <n v="86.08"/>
  </r>
  <r>
    <x v="5"/>
    <x v="3"/>
    <x v="3"/>
    <x v="576"/>
    <n v="14892507"/>
    <n v="3489"/>
    <x v="247"/>
    <n v="29742"/>
    <n v="354153"/>
    <n v="44966"/>
    <n v="37608"/>
    <n v="449"/>
    <n v="876112"/>
    <n v="440358"/>
    <n v="8785"/>
    <n v="1763728"/>
    <n v="6.9"/>
    <n v="43481349"/>
    <n v="12070966"/>
    <n v="22685324"/>
    <n v="28.38"/>
    <n v="7.81"/>
    <n v="4149"/>
    <n v="4.2699999999999996"/>
    <n v="0.96"/>
  </r>
  <r>
    <x v="5"/>
    <x v="1"/>
    <x v="0"/>
    <x v="577"/>
    <n v="20134497"/>
    <n v="2904"/>
    <x v="74"/>
    <n v="12831"/>
    <n v="434048"/>
    <n v="37207"/>
    <n v="43998"/>
    <n v="551"/>
    <n v="634172"/>
    <n v="49216"/>
    <n v="6895"/>
    <n v="801118"/>
    <n v="7.68"/>
    <n v="21347850"/>
    <n v="29134401"/>
    <n v="19417202"/>
    <n v="11.93"/>
    <n v="6.84"/>
    <n v="1704"/>
    <n v="4.1399999999999997"/>
    <n v="96.64"/>
  </r>
  <r>
    <x v="1"/>
    <x v="0"/>
    <x v="0"/>
    <x v="578"/>
    <n v="45175521"/>
    <n v="11627"/>
    <x v="226"/>
    <n v="47762"/>
    <n v="308980"/>
    <n v="40288"/>
    <n v="32895"/>
    <n v="1573"/>
    <n v="253271"/>
    <n v="26425"/>
    <n v="4107"/>
    <n v="1549131"/>
    <n v="0.96"/>
    <n v="30150817"/>
    <n v="7023330"/>
    <n v="24714391"/>
    <n v="10.28"/>
    <n v="8.6199999999999992"/>
    <n v="3797"/>
    <n v="3.75"/>
    <n v="34.14"/>
  </r>
  <r>
    <x v="2"/>
    <x v="4"/>
    <x v="4"/>
    <x v="579"/>
    <n v="30500601"/>
    <n v="11813"/>
    <x v="264"/>
    <n v="19830"/>
    <n v="992457"/>
    <n v="25995"/>
    <n v="16875"/>
    <n v="1071"/>
    <n v="58531"/>
    <n v="415913"/>
    <n v="3280"/>
    <n v="1113104"/>
    <n v="8.9"/>
    <n v="24532947"/>
    <n v="32296376"/>
    <n v="5240888"/>
    <n v="7.75"/>
    <n v="9.42"/>
    <n v="4138"/>
    <n v="3.2"/>
    <n v="99.04"/>
  </r>
  <r>
    <x v="1"/>
    <x v="2"/>
    <x v="3"/>
    <x v="580"/>
    <n v="46045655"/>
    <n v="11668"/>
    <x v="220"/>
    <n v="56044"/>
    <n v="931866"/>
    <n v="5409"/>
    <n v="37065"/>
    <n v="694"/>
    <n v="870059"/>
    <n v="460755"/>
    <n v="2212"/>
    <n v="1673675"/>
    <n v="17.54"/>
    <n v="4745150"/>
    <n v="15700732"/>
    <n v="2654589"/>
    <n v="59.33"/>
    <n v="6.01"/>
    <n v="1943"/>
    <n v="3.43"/>
    <n v="25.26"/>
  </r>
  <r>
    <x v="4"/>
    <x v="4"/>
    <x v="1"/>
    <x v="581"/>
    <n v="34805950"/>
    <n v="8285"/>
    <x v="145"/>
    <n v="38045"/>
    <n v="985249"/>
    <n v="42438"/>
    <n v="27223"/>
    <n v="586"/>
    <n v="354898"/>
    <n v="14651"/>
    <n v="8078"/>
    <n v="509907"/>
    <n v="12.63"/>
    <n v="42510516"/>
    <n v="32304370"/>
    <n v="20121397"/>
    <n v="18.93"/>
    <n v="2.76"/>
    <n v="1335"/>
    <n v="4.05"/>
    <n v="47.15"/>
  </r>
  <r>
    <x v="4"/>
    <x v="3"/>
    <x v="1"/>
    <x v="582"/>
    <n v="17790529"/>
    <n v="2668"/>
    <x v="193"/>
    <n v="27627"/>
    <n v="956425"/>
    <n v="44874"/>
    <n v="4487"/>
    <n v="720"/>
    <n v="593020"/>
    <n v="355531"/>
    <n v="9734"/>
    <n v="1334507"/>
    <n v="29.08"/>
    <n v="48902868"/>
    <n v="2602807"/>
    <n v="7632034"/>
    <n v="36.119999999999997"/>
    <n v="4.29"/>
    <n v="584"/>
    <n v="3.35"/>
    <n v="35.39"/>
  </r>
  <r>
    <x v="2"/>
    <x v="2"/>
    <x v="3"/>
    <x v="583"/>
    <n v="46374626"/>
    <n v="3213"/>
    <x v="73"/>
    <n v="16198"/>
    <n v="988938"/>
    <n v="44702"/>
    <n v="6543"/>
    <n v="1206"/>
    <n v="667872"/>
    <n v="286522"/>
    <n v="7601"/>
    <n v="933280"/>
    <n v="1.68"/>
    <n v="27820500"/>
    <n v="17007315"/>
    <n v="22065426"/>
    <n v="86.2"/>
    <n v="7.7"/>
    <n v="3497"/>
    <n v="1.71"/>
    <n v="35.58"/>
  </r>
  <r>
    <x v="0"/>
    <x v="3"/>
    <x v="3"/>
    <x v="584"/>
    <n v="28880039"/>
    <n v="2992"/>
    <x v="267"/>
    <n v="30475"/>
    <n v="784077"/>
    <n v="29823"/>
    <n v="49405"/>
    <n v="1458"/>
    <n v="342868"/>
    <n v="484505"/>
    <n v="613"/>
    <n v="378757"/>
    <n v="17.739999999999998"/>
    <n v="35962130"/>
    <n v="33452833"/>
    <n v="28288694"/>
    <n v="42.43"/>
    <n v="6.68"/>
    <n v="1429"/>
    <n v="1.94"/>
    <n v="84.23"/>
  </r>
  <r>
    <x v="1"/>
    <x v="0"/>
    <x v="3"/>
    <x v="585"/>
    <n v="48883190"/>
    <n v="1975"/>
    <x v="77"/>
    <n v="20403"/>
    <n v="937066"/>
    <n v="7869"/>
    <n v="23406"/>
    <n v="106"/>
    <n v="417173"/>
    <n v="15241"/>
    <n v="868"/>
    <n v="1013567"/>
    <n v="25.75"/>
    <n v="23425283"/>
    <n v="918241"/>
    <n v="1827916"/>
    <n v="91.57"/>
    <n v="2.19"/>
    <n v="695"/>
    <n v="4.5"/>
    <n v="74.64"/>
  </r>
  <r>
    <x v="6"/>
    <x v="2"/>
    <x v="0"/>
    <x v="586"/>
    <n v="32081133"/>
    <n v="3022"/>
    <x v="37"/>
    <n v="4681"/>
    <n v="983014"/>
    <n v="35724"/>
    <n v="12765"/>
    <n v="1211"/>
    <n v="464288"/>
    <n v="330157"/>
    <n v="811"/>
    <n v="713787"/>
    <n v="14.42"/>
    <n v="37911884"/>
    <n v="39678709"/>
    <n v="714564"/>
    <n v="49.79"/>
    <n v="0.99"/>
    <n v="73"/>
    <n v="0.18"/>
    <n v="99.22"/>
  </r>
  <r>
    <x v="5"/>
    <x v="3"/>
    <x v="0"/>
    <x v="587"/>
    <n v="2832214"/>
    <n v="11755"/>
    <x v="166"/>
    <n v="43292"/>
    <n v="656337"/>
    <n v="22401"/>
    <n v="875"/>
    <n v="775"/>
    <n v="761291"/>
    <n v="295859"/>
    <n v="4862"/>
    <n v="1834005"/>
    <n v="0.09"/>
    <n v="16893043"/>
    <n v="33486641"/>
    <n v="7694379"/>
    <n v="39.880000000000003"/>
    <n v="6.99"/>
    <n v="4702"/>
    <n v="3.52"/>
    <n v="61.35"/>
  </r>
  <r>
    <x v="5"/>
    <x v="0"/>
    <x v="0"/>
    <x v="588"/>
    <n v="27996053"/>
    <n v="10690"/>
    <x v="179"/>
    <n v="6629"/>
    <n v="863839"/>
    <n v="25958"/>
    <n v="11183"/>
    <n v="1109"/>
    <n v="816892"/>
    <n v="122158"/>
    <n v="4177"/>
    <n v="1154463"/>
    <n v="7.28"/>
    <n v="16197020"/>
    <n v="9686424"/>
    <n v="29495829"/>
    <n v="75.040000000000006"/>
    <n v="2.89"/>
    <n v="4501"/>
    <n v="4.78"/>
    <n v="46.33"/>
  </r>
  <r>
    <x v="2"/>
    <x v="4"/>
    <x v="2"/>
    <x v="589"/>
    <n v="39136252"/>
    <n v="11016"/>
    <x v="189"/>
    <n v="9417"/>
    <n v="795042"/>
    <n v="10766"/>
    <n v="38107"/>
    <n v="1859"/>
    <n v="88195"/>
    <n v="193923"/>
    <n v="1744"/>
    <n v="1110662"/>
    <n v="9.7100000000000009"/>
    <n v="22618648"/>
    <n v="6979736"/>
    <n v="10491464"/>
    <n v="7.32"/>
    <n v="5.25"/>
    <n v="4720"/>
    <n v="3.56"/>
    <n v="9.01"/>
  </r>
  <r>
    <x v="0"/>
    <x v="0"/>
    <x v="1"/>
    <x v="590"/>
    <n v="22543878"/>
    <n v="17424"/>
    <x v="64"/>
    <n v="35765"/>
    <n v="634669"/>
    <n v="19768"/>
    <n v="33381"/>
    <n v="1866"/>
    <n v="130566"/>
    <n v="112784"/>
    <n v="2256"/>
    <n v="889663"/>
    <n v="28.98"/>
    <n v="46941111"/>
    <n v="37922189"/>
    <n v="9570032"/>
    <n v="8.9499999999999993"/>
    <n v="7.59"/>
    <n v="4174"/>
    <n v="4.97"/>
    <n v="99.66"/>
  </r>
  <r>
    <x v="4"/>
    <x v="1"/>
    <x v="1"/>
    <x v="591"/>
    <n v="33515348"/>
    <n v="11188"/>
    <x v="165"/>
    <n v="57574"/>
    <n v="487134"/>
    <n v="30794"/>
    <n v="38534"/>
    <n v="1479"/>
    <n v="139482"/>
    <n v="289696"/>
    <n v="7612"/>
    <n v="1305070"/>
    <n v="27.35"/>
    <n v="31186764"/>
    <n v="3927526"/>
    <n v="3334055"/>
    <n v="65.2"/>
    <n v="5.85"/>
    <n v="414"/>
    <n v="3.47"/>
    <n v="55.15"/>
  </r>
  <r>
    <x v="4"/>
    <x v="0"/>
    <x v="4"/>
    <x v="592"/>
    <n v="31763040"/>
    <n v="18246"/>
    <x v="59"/>
    <n v="28675"/>
    <n v="16791"/>
    <n v="26145"/>
    <n v="11264"/>
    <n v="1160"/>
    <n v="265337"/>
    <n v="416041"/>
    <n v="8713"/>
    <n v="509889"/>
    <n v="28.48"/>
    <n v="48802557"/>
    <n v="39442635"/>
    <n v="17939324"/>
    <n v="48.69"/>
    <n v="1.29"/>
    <n v="2705"/>
    <n v="0.27"/>
    <n v="70.05"/>
  </r>
  <r>
    <x v="5"/>
    <x v="0"/>
    <x v="0"/>
    <x v="593"/>
    <n v="9542832"/>
    <n v="15985"/>
    <x v="52"/>
    <n v="41563"/>
    <n v="59047"/>
    <n v="10086"/>
    <n v="4028"/>
    <n v="1881"/>
    <n v="640101"/>
    <n v="50491"/>
    <n v="7196"/>
    <n v="1637172"/>
    <n v="24.77"/>
    <n v="23776190"/>
    <n v="9809153"/>
    <n v="424452"/>
    <n v="79.040000000000006"/>
    <n v="2.2599999999999998"/>
    <n v="458"/>
    <n v="4.1500000000000004"/>
    <n v="40.67"/>
  </r>
  <r>
    <x v="2"/>
    <x v="1"/>
    <x v="2"/>
    <x v="594"/>
    <n v="2750397"/>
    <n v="13195"/>
    <x v="268"/>
    <n v="12332"/>
    <n v="495064"/>
    <n v="43203"/>
    <n v="5202"/>
    <n v="897"/>
    <n v="553598"/>
    <n v="120388"/>
    <n v="5423"/>
    <n v="278941"/>
    <n v="10.55"/>
    <n v="42233754"/>
    <n v="3261365"/>
    <n v="23135452"/>
    <n v="91.63"/>
    <n v="2.58"/>
    <n v="1364"/>
    <n v="1.49"/>
    <n v="54.77"/>
  </r>
  <r>
    <x v="1"/>
    <x v="3"/>
    <x v="2"/>
    <x v="595"/>
    <n v="44442324"/>
    <n v="539"/>
    <x v="61"/>
    <n v="20177"/>
    <n v="235898"/>
    <n v="26442"/>
    <n v="2025"/>
    <n v="335"/>
    <n v="544880"/>
    <n v="206232"/>
    <n v="5089"/>
    <n v="1317022"/>
    <n v="27.18"/>
    <n v="12670907"/>
    <n v="26150237"/>
    <n v="19793205"/>
    <n v="38.840000000000003"/>
    <n v="2.95"/>
    <n v="268"/>
    <n v="2.29"/>
    <n v="94.26"/>
  </r>
  <r>
    <x v="4"/>
    <x v="3"/>
    <x v="1"/>
    <x v="596"/>
    <n v="10890284"/>
    <n v="11798"/>
    <x v="96"/>
    <n v="69447"/>
    <n v="462122"/>
    <n v="16412"/>
    <n v="42628"/>
    <n v="606"/>
    <n v="482495"/>
    <n v="113635"/>
    <n v="6608"/>
    <n v="457388"/>
    <n v="29.45"/>
    <n v="2137810"/>
    <n v="39319534"/>
    <n v="5443157"/>
    <n v="59.64"/>
    <n v="5.87"/>
    <n v="4753"/>
    <n v="1.63"/>
    <n v="16.64"/>
  </r>
  <r>
    <x v="1"/>
    <x v="0"/>
    <x v="0"/>
    <x v="597"/>
    <n v="42346292"/>
    <n v="19325"/>
    <x v="250"/>
    <n v="58104"/>
    <n v="676025"/>
    <n v="25596"/>
    <n v="3390"/>
    <n v="837"/>
    <n v="582893"/>
    <n v="142870"/>
    <n v="9717"/>
    <n v="563347"/>
    <n v="10.5"/>
    <n v="45471552"/>
    <n v="14705596"/>
    <n v="23512834"/>
    <n v="50.07"/>
    <n v="5.29"/>
    <n v="1589"/>
    <n v="1.42"/>
    <n v="29.24"/>
  </r>
  <r>
    <x v="0"/>
    <x v="1"/>
    <x v="4"/>
    <x v="598"/>
    <n v="49905330"/>
    <n v="3566"/>
    <x v="267"/>
    <n v="5951"/>
    <n v="71246"/>
    <n v="10255"/>
    <n v="28353"/>
    <n v="1780"/>
    <n v="686365"/>
    <n v="240047"/>
    <n v="1469"/>
    <n v="132980"/>
    <n v="7.82"/>
    <n v="2417490"/>
    <n v="2205349"/>
    <n v="15973595"/>
    <n v="98.16"/>
    <n v="2.4300000000000002"/>
    <n v="3483"/>
    <n v="2.21"/>
    <n v="15.21"/>
  </r>
  <r>
    <x v="4"/>
    <x v="1"/>
    <x v="0"/>
    <x v="599"/>
    <n v="42897458"/>
    <n v="19774"/>
    <x v="144"/>
    <n v="29333"/>
    <n v="197936"/>
    <n v="42406"/>
    <n v="3780"/>
    <n v="1492"/>
    <n v="204800"/>
    <n v="86811"/>
    <n v="2675"/>
    <n v="1765188"/>
    <n v="16.41"/>
    <n v="43190195"/>
    <n v="8448893"/>
    <n v="7657509"/>
    <n v="83.11"/>
    <n v="1.1399999999999999"/>
    <n v="1652"/>
    <n v="1.96"/>
    <n v="79.22"/>
  </r>
  <r>
    <x v="4"/>
    <x v="4"/>
    <x v="3"/>
    <x v="600"/>
    <n v="31391320"/>
    <n v="6460"/>
    <x v="100"/>
    <n v="22673"/>
    <n v="964955"/>
    <n v="40524"/>
    <n v="5839"/>
    <n v="601"/>
    <n v="291199"/>
    <n v="340094"/>
    <n v="1513"/>
    <n v="1523451"/>
    <n v="5.61"/>
    <n v="6665472"/>
    <n v="19679666"/>
    <n v="9071245"/>
    <n v="91.17"/>
    <n v="2.13"/>
    <n v="2754"/>
    <n v="3.2"/>
    <n v="6.2"/>
  </r>
  <r>
    <x v="3"/>
    <x v="3"/>
    <x v="0"/>
    <x v="601"/>
    <n v="41780792"/>
    <n v="103"/>
    <x v="94"/>
    <n v="41870"/>
    <n v="235955"/>
    <n v="23332"/>
    <n v="34391"/>
    <n v="1594"/>
    <n v="596722"/>
    <n v="371977"/>
    <n v="4876"/>
    <n v="144949"/>
    <n v="0.98"/>
    <n v="30311591"/>
    <n v="38020375"/>
    <n v="24823214"/>
    <n v="25.43"/>
    <n v="9.85"/>
    <n v="3698"/>
    <n v="4.08"/>
    <n v="8.16"/>
  </r>
  <r>
    <x v="4"/>
    <x v="2"/>
    <x v="3"/>
    <x v="602"/>
    <n v="1972542"/>
    <n v="19009"/>
    <x v="43"/>
    <n v="23821"/>
    <n v="349292"/>
    <n v="44624"/>
    <n v="45925"/>
    <n v="402"/>
    <n v="597576"/>
    <n v="264609"/>
    <n v="1451"/>
    <n v="277383"/>
    <n v="28.37"/>
    <n v="36097872"/>
    <n v="22290077"/>
    <n v="5900173"/>
    <n v="77.25"/>
    <n v="4.95"/>
    <n v="1155"/>
    <n v="1.56"/>
    <n v="29.85"/>
  </r>
  <r>
    <x v="6"/>
    <x v="3"/>
    <x v="3"/>
    <x v="603"/>
    <n v="4973014"/>
    <n v="17049"/>
    <x v="269"/>
    <n v="26494"/>
    <n v="571178"/>
    <n v="15764"/>
    <n v="15555"/>
    <n v="539"/>
    <n v="864189"/>
    <n v="228725"/>
    <n v="4654"/>
    <n v="1005475"/>
    <n v="27.77"/>
    <n v="25866772"/>
    <n v="20655012"/>
    <n v="6980330"/>
    <n v="26.55"/>
    <n v="8.74"/>
    <n v="3461"/>
    <n v="1.1499999999999999"/>
    <n v="51.42"/>
  </r>
  <r>
    <x v="2"/>
    <x v="3"/>
    <x v="4"/>
    <x v="604"/>
    <n v="13745462"/>
    <n v="5994"/>
    <x v="26"/>
    <n v="1835"/>
    <n v="401010"/>
    <n v="27563"/>
    <n v="18273"/>
    <n v="1095"/>
    <n v="804871"/>
    <n v="359906"/>
    <n v="3007"/>
    <n v="28313"/>
    <n v="4.88"/>
    <n v="24026709"/>
    <n v="6179064"/>
    <n v="4447434"/>
    <n v="20.87"/>
    <n v="8.56"/>
    <n v="2538"/>
    <n v="3.37"/>
    <n v="40.630000000000003"/>
  </r>
  <r>
    <x v="2"/>
    <x v="4"/>
    <x v="1"/>
    <x v="605"/>
    <n v="32963391"/>
    <n v="7454"/>
    <x v="96"/>
    <n v="19646"/>
    <n v="558176"/>
    <n v="22139"/>
    <n v="38150"/>
    <n v="1805"/>
    <n v="405541"/>
    <n v="43472"/>
    <n v="3124"/>
    <n v="1019394"/>
    <n v="12.23"/>
    <n v="8235022"/>
    <n v="514938"/>
    <n v="19112776"/>
    <n v="94.43"/>
    <n v="5.36"/>
    <n v="666"/>
    <n v="3.38"/>
    <n v="4.4800000000000004"/>
  </r>
  <r>
    <x v="1"/>
    <x v="2"/>
    <x v="0"/>
    <x v="606"/>
    <n v="4029801"/>
    <n v="1004"/>
    <x v="201"/>
    <n v="38335"/>
    <n v="138821"/>
    <n v="36370"/>
    <n v="43316"/>
    <n v="23"/>
    <n v="484503"/>
    <n v="44234"/>
    <n v="1753"/>
    <n v="1091679"/>
    <n v="24.93"/>
    <n v="49535025"/>
    <n v="3070132"/>
    <n v="25780005"/>
    <n v="1.93"/>
    <n v="7.21"/>
    <n v="4371"/>
    <n v="4.5199999999999996"/>
    <n v="95.75"/>
  </r>
  <r>
    <x v="0"/>
    <x v="4"/>
    <x v="3"/>
    <x v="607"/>
    <n v="33742121"/>
    <n v="10675"/>
    <x v="270"/>
    <n v="3429"/>
    <n v="571819"/>
    <n v="5062"/>
    <n v="25685"/>
    <n v="623"/>
    <n v="496207"/>
    <n v="300067"/>
    <n v="1612"/>
    <n v="180480"/>
    <n v="19.829999999999998"/>
    <n v="41611567"/>
    <n v="4453054"/>
    <n v="10185151"/>
    <n v="96.54"/>
    <n v="2.33"/>
    <n v="2468"/>
    <n v="0.18"/>
    <n v="95.29"/>
  </r>
  <r>
    <x v="4"/>
    <x v="2"/>
    <x v="0"/>
    <x v="608"/>
    <n v="38862595"/>
    <n v="1679"/>
    <x v="59"/>
    <n v="42950"/>
    <n v="903084"/>
    <n v="44645"/>
    <n v="25372"/>
    <n v="1835"/>
    <n v="155723"/>
    <n v="71258"/>
    <n v="3275"/>
    <n v="1526043"/>
    <n v="11.84"/>
    <n v="21115295"/>
    <n v="19166858"/>
    <n v="27063790"/>
    <n v="14.93"/>
    <n v="7.04"/>
    <n v="77"/>
    <n v="4.28"/>
    <n v="27.94"/>
  </r>
  <r>
    <x v="6"/>
    <x v="0"/>
    <x v="1"/>
    <x v="609"/>
    <n v="33924949"/>
    <n v="11023"/>
    <x v="252"/>
    <n v="61654"/>
    <n v="808040"/>
    <n v="7244"/>
    <n v="158"/>
    <n v="1508"/>
    <n v="652856"/>
    <n v="358320"/>
    <n v="8747"/>
    <n v="1138347"/>
    <n v="22.33"/>
    <n v="8968387"/>
    <n v="7334806"/>
    <n v="27138731"/>
    <n v="81.94"/>
    <n v="3.09"/>
    <n v="3105"/>
    <n v="2.65"/>
    <n v="73.150000000000006"/>
  </r>
  <r>
    <x v="1"/>
    <x v="2"/>
    <x v="1"/>
    <x v="610"/>
    <n v="40339283"/>
    <n v="6909"/>
    <x v="271"/>
    <n v="69143"/>
    <n v="344130"/>
    <n v="6372"/>
    <n v="1764"/>
    <n v="1079"/>
    <n v="524824"/>
    <n v="237259"/>
    <n v="2049"/>
    <n v="1175804"/>
    <n v="26.91"/>
    <n v="23338859"/>
    <n v="38230351"/>
    <n v="5273724"/>
    <n v="27.59"/>
    <n v="8.4"/>
    <n v="65"/>
    <n v="3.14"/>
    <n v="57.86"/>
  </r>
  <r>
    <x v="3"/>
    <x v="4"/>
    <x v="2"/>
    <x v="611"/>
    <n v="46637503"/>
    <n v="8891"/>
    <x v="243"/>
    <n v="32099"/>
    <n v="987715"/>
    <n v="39873"/>
    <n v="26755"/>
    <n v="985"/>
    <n v="356592"/>
    <n v="133121"/>
    <n v="824"/>
    <n v="92665"/>
    <n v="27.78"/>
    <n v="31976223"/>
    <n v="8507441"/>
    <n v="17153861"/>
    <n v="35.07"/>
    <n v="1.3"/>
    <n v="3398"/>
    <n v="0.55000000000000004"/>
    <n v="23.75"/>
  </r>
  <r>
    <x v="1"/>
    <x v="3"/>
    <x v="1"/>
    <x v="612"/>
    <n v="46256273"/>
    <n v="10589"/>
    <x v="272"/>
    <n v="40385"/>
    <n v="347140"/>
    <n v="19965"/>
    <n v="7388"/>
    <n v="222"/>
    <n v="870639"/>
    <n v="49496"/>
    <n v="3030"/>
    <n v="797966"/>
    <n v="11.37"/>
    <n v="10201475"/>
    <n v="14745270"/>
    <n v="12411968"/>
    <n v="21.68"/>
    <n v="7.84"/>
    <n v="382"/>
    <n v="2.2200000000000002"/>
    <n v="26.22"/>
  </r>
  <r>
    <x v="1"/>
    <x v="2"/>
    <x v="4"/>
    <x v="613"/>
    <n v="32955693"/>
    <n v="12732"/>
    <x v="63"/>
    <n v="36919"/>
    <n v="581305"/>
    <n v="44997"/>
    <n v="46369"/>
    <n v="1655"/>
    <n v="563839"/>
    <n v="370580"/>
    <n v="1081"/>
    <n v="1879068"/>
    <n v="5.21"/>
    <n v="19204852"/>
    <n v="35662518"/>
    <n v="26739480"/>
    <n v="58.55"/>
    <n v="1.45"/>
    <n v="4628"/>
    <n v="1.21"/>
    <n v="49.12"/>
  </r>
  <r>
    <x v="4"/>
    <x v="2"/>
    <x v="3"/>
    <x v="614"/>
    <n v="43654609"/>
    <n v="3328"/>
    <x v="121"/>
    <n v="61782"/>
    <n v="498163"/>
    <n v="16956"/>
    <n v="20150"/>
    <n v="178"/>
    <n v="492013"/>
    <n v="32012"/>
    <n v="5299"/>
    <n v="1853197"/>
    <n v="27.39"/>
    <n v="21368672"/>
    <n v="32919477"/>
    <n v="17210127"/>
    <n v="34.81"/>
    <n v="8.8699999999999992"/>
    <n v="4711"/>
    <n v="1.35"/>
    <n v="41.92"/>
  </r>
  <r>
    <x v="3"/>
    <x v="1"/>
    <x v="2"/>
    <x v="615"/>
    <n v="47004347"/>
    <n v="18995"/>
    <x v="177"/>
    <n v="41387"/>
    <n v="58676"/>
    <n v="40473"/>
    <n v="9381"/>
    <n v="799"/>
    <n v="81238"/>
    <n v="57047"/>
    <n v="492"/>
    <n v="1964439"/>
    <n v="2.78"/>
    <n v="37255622"/>
    <n v="32397138"/>
    <n v="16336115"/>
    <n v="65.739999999999995"/>
    <n v="3.39"/>
    <n v="2211"/>
    <n v="2.57"/>
    <n v="29.12"/>
  </r>
  <r>
    <x v="1"/>
    <x v="3"/>
    <x v="4"/>
    <x v="616"/>
    <n v="1695885"/>
    <n v="6589"/>
    <x v="251"/>
    <n v="16823"/>
    <n v="536848"/>
    <n v="13894"/>
    <n v="27009"/>
    <n v="433"/>
    <n v="336240"/>
    <n v="491013"/>
    <n v="4764"/>
    <n v="1659931"/>
    <n v="21.65"/>
    <n v="33905344"/>
    <n v="24060666"/>
    <n v="23111182"/>
    <n v="1.56"/>
    <n v="6.72"/>
    <n v="2135"/>
    <n v="4.08"/>
    <n v="80.75"/>
  </r>
  <r>
    <x v="6"/>
    <x v="0"/>
    <x v="0"/>
    <x v="617"/>
    <n v="43599123"/>
    <n v="16804"/>
    <x v="100"/>
    <n v="47015"/>
    <n v="448617"/>
    <n v="45048"/>
    <n v="12789"/>
    <n v="1960"/>
    <n v="584859"/>
    <n v="44487"/>
    <n v="7202"/>
    <n v="798399"/>
    <n v="4.21"/>
    <n v="35515215"/>
    <n v="29842019"/>
    <n v="1480929"/>
    <n v="6.44"/>
    <n v="5.13"/>
    <n v="4599"/>
    <n v="3.74"/>
    <n v="48.15"/>
  </r>
  <r>
    <x v="6"/>
    <x v="4"/>
    <x v="3"/>
    <x v="618"/>
    <n v="27640148"/>
    <n v="907"/>
    <x v="199"/>
    <n v="16339"/>
    <n v="51468"/>
    <n v="33382"/>
    <n v="31085"/>
    <n v="1473"/>
    <n v="131113"/>
    <n v="457281"/>
    <n v="8266"/>
    <n v="738351"/>
    <n v="11.68"/>
    <n v="19424565"/>
    <n v="2338782"/>
    <n v="20036048"/>
    <n v="9.9700000000000006"/>
    <n v="3.98"/>
    <n v="4003"/>
    <n v="3"/>
    <n v="65.48"/>
  </r>
  <r>
    <x v="2"/>
    <x v="0"/>
    <x v="1"/>
    <x v="619"/>
    <n v="30923447"/>
    <n v="4936"/>
    <x v="253"/>
    <n v="4491"/>
    <n v="688823"/>
    <n v="4050"/>
    <n v="30707"/>
    <n v="792"/>
    <n v="74101"/>
    <n v="278752"/>
    <n v="3360"/>
    <n v="852995"/>
    <n v="12.35"/>
    <n v="47230078"/>
    <n v="39732204"/>
    <n v="6244994"/>
    <n v="41.9"/>
    <n v="6.63"/>
    <n v="2839"/>
    <n v="2.74"/>
    <n v="18.93"/>
  </r>
  <r>
    <x v="3"/>
    <x v="3"/>
    <x v="3"/>
    <x v="620"/>
    <n v="37952622"/>
    <n v="12995"/>
    <x v="19"/>
    <n v="1706"/>
    <n v="950167"/>
    <n v="16709"/>
    <n v="9805"/>
    <n v="883"/>
    <n v="30373"/>
    <n v="307836"/>
    <n v="8562"/>
    <n v="271804"/>
    <n v="4.76"/>
    <n v="27926702"/>
    <n v="1609387"/>
    <n v="1777346"/>
    <n v="81.48"/>
    <n v="9.5"/>
    <n v="4311"/>
    <n v="2.19"/>
    <n v="53.35"/>
  </r>
  <r>
    <x v="3"/>
    <x v="2"/>
    <x v="0"/>
    <x v="621"/>
    <n v="24663349"/>
    <n v="7535"/>
    <x v="61"/>
    <n v="16728"/>
    <n v="987210"/>
    <n v="15722"/>
    <n v="38470"/>
    <n v="491"/>
    <n v="692508"/>
    <n v="109349"/>
    <n v="4682"/>
    <n v="1430391"/>
    <n v="27.68"/>
    <n v="14896261"/>
    <n v="5169501"/>
    <n v="26689828"/>
    <n v="88.82"/>
    <n v="0.89"/>
    <n v="2302"/>
    <n v="4.87"/>
    <n v="31.8"/>
  </r>
  <r>
    <x v="2"/>
    <x v="2"/>
    <x v="2"/>
    <x v="622"/>
    <n v="3888445"/>
    <n v="13730"/>
    <x v="86"/>
    <n v="7997"/>
    <n v="452989"/>
    <n v="15210"/>
    <n v="4228"/>
    <n v="1212"/>
    <n v="71968"/>
    <n v="2019"/>
    <n v="328"/>
    <n v="485091"/>
    <n v="0.08"/>
    <n v="29021249"/>
    <n v="28877486"/>
    <n v="20749008"/>
    <n v="24.48"/>
    <n v="9.23"/>
    <n v="294"/>
    <n v="2.84"/>
    <n v="52.64"/>
  </r>
  <r>
    <x v="1"/>
    <x v="3"/>
    <x v="2"/>
    <x v="623"/>
    <n v="20020190"/>
    <n v="16817"/>
    <x v="125"/>
    <n v="61408"/>
    <n v="820555"/>
    <n v="49510"/>
    <n v="37581"/>
    <n v="1601"/>
    <n v="813402"/>
    <n v="304839"/>
    <n v="9982"/>
    <n v="130909"/>
    <n v="26.81"/>
    <n v="39708040"/>
    <n v="5919261"/>
    <n v="20615094"/>
    <n v="57.44"/>
    <n v="6.29"/>
    <n v="1944"/>
    <n v="1.34"/>
    <n v="78.08"/>
  </r>
  <r>
    <x v="3"/>
    <x v="2"/>
    <x v="2"/>
    <x v="624"/>
    <n v="45935139"/>
    <n v="14447"/>
    <x v="232"/>
    <n v="59097"/>
    <n v="619634"/>
    <n v="36545"/>
    <n v="11682"/>
    <n v="809"/>
    <n v="720989"/>
    <n v="140789"/>
    <n v="8968"/>
    <n v="1482615"/>
    <n v="26.51"/>
    <n v="7137219"/>
    <n v="6515766"/>
    <n v="15721852"/>
    <n v="76.84"/>
    <n v="8.17"/>
    <n v="1406"/>
    <n v="1.23"/>
    <n v="76.89"/>
  </r>
  <r>
    <x v="6"/>
    <x v="2"/>
    <x v="1"/>
    <x v="625"/>
    <n v="10167788"/>
    <n v="10794"/>
    <x v="273"/>
    <n v="39523"/>
    <n v="666078"/>
    <n v="38674"/>
    <n v="31052"/>
    <n v="960"/>
    <n v="8828"/>
    <n v="468584"/>
    <n v="4674"/>
    <n v="450058"/>
    <n v="9.51"/>
    <n v="29097324"/>
    <n v="11776360"/>
    <n v="5588592"/>
    <n v="28.88"/>
    <n v="4.1500000000000004"/>
    <n v="992"/>
    <n v="3.1"/>
    <n v="35.42"/>
  </r>
  <r>
    <x v="6"/>
    <x v="2"/>
    <x v="4"/>
    <x v="626"/>
    <n v="45776218"/>
    <n v="4384"/>
    <x v="62"/>
    <n v="26163"/>
    <n v="718997"/>
    <n v="34489"/>
    <n v="35960"/>
    <n v="419"/>
    <n v="137905"/>
    <n v="33398"/>
    <n v="4316"/>
    <n v="141688"/>
    <n v="21.13"/>
    <n v="10416885"/>
    <n v="18844355"/>
    <n v="24902387"/>
    <n v="40.9"/>
    <n v="4.9800000000000004"/>
    <n v="3517"/>
    <n v="2.66"/>
    <n v="69.430000000000007"/>
  </r>
  <r>
    <x v="4"/>
    <x v="4"/>
    <x v="4"/>
    <x v="627"/>
    <n v="42252022"/>
    <n v="19159"/>
    <x v="200"/>
    <n v="18718"/>
    <n v="787460"/>
    <n v="17733"/>
    <n v="11019"/>
    <n v="1272"/>
    <n v="776307"/>
    <n v="237325"/>
    <n v="9379"/>
    <n v="1125552"/>
    <n v="7.58"/>
    <n v="17504618"/>
    <n v="6548932"/>
    <n v="3569829"/>
    <n v="52.4"/>
    <n v="8.75"/>
    <n v="3242"/>
    <n v="0.14000000000000001"/>
    <n v="94.13"/>
  </r>
  <r>
    <x v="3"/>
    <x v="4"/>
    <x v="3"/>
    <x v="628"/>
    <n v="8682535"/>
    <n v="12276"/>
    <x v="70"/>
    <n v="40619"/>
    <n v="980874"/>
    <n v="20080"/>
    <n v="47106"/>
    <n v="1611"/>
    <n v="121673"/>
    <n v="400245"/>
    <n v="9695"/>
    <n v="1807072"/>
    <n v="22.76"/>
    <n v="11978476"/>
    <n v="21252780"/>
    <n v="7405246"/>
    <n v="13.49"/>
    <n v="4.4400000000000004"/>
    <n v="1795"/>
    <n v="4.17"/>
    <n v="62.57"/>
  </r>
  <r>
    <x v="1"/>
    <x v="1"/>
    <x v="1"/>
    <x v="629"/>
    <n v="25343729"/>
    <n v="13490"/>
    <x v="115"/>
    <n v="13126"/>
    <n v="48599"/>
    <n v="36664"/>
    <n v="19554"/>
    <n v="648"/>
    <n v="47138"/>
    <n v="233825"/>
    <n v="5803"/>
    <n v="1229386"/>
    <n v="16.829999999999998"/>
    <n v="39219370"/>
    <n v="29301065"/>
    <n v="19868416"/>
    <n v="2.6"/>
    <n v="5.58"/>
    <n v="4555"/>
    <n v="3.55"/>
    <n v="14.84"/>
  </r>
  <r>
    <x v="2"/>
    <x v="0"/>
    <x v="2"/>
    <x v="630"/>
    <n v="46974251"/>
    <n v="15070"/>
    <x v="274"/>
    <n v="65926"/>
    <n v="149469"/>
    <n v="39709"/>
    <n v="29391"/>
    <n v="1187"/>
    <n v="798200"/>
    <n v="276700"/>
    <n v="3325"/>
    <n v="1324827"/>
    <n v="9.01"/>
    <n v="42270566"/>
    <n v="11647194"/>
    <n v="3714886"/>
    <n v="15.28"/>
    <n v="0.69"/>
    <n v="2407"/>
    <n v="3.34"/>
    <n v="67.97"/>
  </r>
  <r>
    <x v="2"/>
    <x v="3"/>
    <x v="2"/>
    <x v="631"/>
    <n v="10696894"/>
    <n v="4301"/>
    <x v="163"/>
    <n v="41633"/>
    <n v="241270"/>
    <n v="46232"/>
    <n v="25297"/>
    <n v="1768"/>
    <n v="202175"/>
    <n v="109699"/>
    <n v="8379"/>
    <n v="1766340"/>
    <n v="12.01"/>
    <n v="42988184"/>
    <n v="3889359"/>
    <n v="19657945"/>
    <n v="62.69"/>
    <n v="2.0099999999999998"/>
    <n v="3929"/>
    <n v="0.44"/>
    <n v="10.49"/>
  </r>
  <r>
    <x v="1"/>
    <x v="3"/>
    <x v="0"/>
    <x v="632"/>
    <n v="13488365"/>
    <n v="12230"/>
    <x v="53"/>
    <n v="4317"/>
    <n v="46406"/>
    <n v="38014"/>
    <n v="2596"/>
    <n v="1278"/>
    <n v="114420"/>
    <n v="348920"/>
    <n v="1214"/>
    <n v="1668046"/>
    <n v="20.7"/>
    <n v="38871631"/>
    <n v="37825356"/>
    <n v="22068206"/>
    <n v="7.36"/>
    <n v="6.6"/>
    <n v="3827"/>
    <n v="1.87"/>
    <n v="87.21"/>
  </r>
  <r>
    <x v="0"/>
    <x v="3"/>
    <x v="0"/>
    <x v="633"/>
    <n v="30531137"/>
    <n v="16190"/>
    <x v="24"/>
    <n v="45980"/>
    <n v="835089"/>
    <n v="41152"/>
    <n v="2658"/>
    <n v="475"/>
    <n v="897311"/>
    <n v="83821"/>
    <n v="7556"/>
    <n v="1817017"/>
    <n v="27.18"/>
    <n v="25439138"/>
    <n v="24030947"/>
    <n v="10333030"/>
    <n v="18.97"/>
    <n v="7.31"/>
    <n v="2165"/>
    <n v="4.68"/>
    <n v="51.67"/>
  </r>
  <r>
    <x v="5"/>
    <x v="1"/>
    <x v="2"/>
    <x v="634"/>
    <n v="38417521"/>
    <n v="972"/>
    <x v="0"/>
    <n v="45115"/>
    <n v="68560"/>
    <n v="27250"/>
    <n v="40091"/>
    <n v="1829"/>
    <n v="410761"/>
    <n v="300168"/>
    <n v="9301"/>
    <n v="879219"/>
    <n v="3.92"/>
    <n v="30004368"/>
    <n v="8810580"/>
    <n v="12057874"/>
    <n v="33.79"/>
    <n v="6.03"/>
    <n v="2317"/>
    <n v="4.33"/>
    <n v="38.51"/>
  </r>
  <r>
    <x v="4"/>
    <x v="4"/>
    <x v="2"/>
    <x v="635"/>
    <n v="48939031"/>
    <n v="19349"/>
    <x v="193"/>
    <n v="62646"/>
    <n v="517394"/>
    <n v="20229"/>
    <n v="18111"/>
    <n v="1440"/>
    <n v="696601"/>
    <n v="286484"/>
    <n v="8722"/>
    <n v="1851962"/>
    <n v="17.14"/>
    <n v="15284497"/>
    <n v="25248428"/>
    <n v="13243443"/>
    <n v="7.79"/>
    <n v="1.86"/>
    <n v="2317"/>
    <n v="1.5"/>
    <n v="5.7"/>
  </r>
  <r>
    <x v="2"/>
    <x v="1"/>
    <x v="1"/>
    <x v="636"/>
    <n v="20075137"/>
    <n v="8007"/>
    <x v="111"/>
    <n v="44158"/>
    <n v="629431"/>
    <n v="48137"/>
    <n v="45322"/>
    <n v="169"/>
    <n v="436486"/>
    <n v="349625"/>
    <n v="9262"/>
    <n v="280087"/>
    <n v="7.61"/>
    <n v="22806523"/>
    <n v="23687412"/>
    <n v="4334965"/>
    <n v="19.170000000000002"/>
    <n v="4.7300000000000004"/>
    <n v="1546"/>
    <n v="0.87"/>
    <n v="38.08"/>
  </r>
  <r>
    <x v="3"/>
    <x v="3"/>
    <x v="4"/>
    <x v="637"/>
    <n v="13262750"/>
    <n v="19480"/>
    <x v="239"/>
    <n v="56963"/>
    <n v="521112"/>
    <n v="16475"/>
    <n v="21702"/>
    <n v="1340"/>
    <n v="8387"/>
    <n v="271472"/>
    <n v="3136"/>
    <n v="1090301"/>
    <n v="24.04"/>
    <n v="10329242"/>
    <n v="25037671"/>
    <n v="18892445"/>
    <n v="91.13"/>
    <n v="3.87"/>
    <n v="2846"/>
    <n v="2.2999999999999998"/>
    <n v="90.32"/>
  </r>
  <r>
    <x v="4"/>
    <x v="0"/>
    <x v="0"/>
    <x v="638"/>
    <n v="32527722"/>
    <n v="15846"/>
    <x v="63"/>
    <n v="48631"/>
    <n v="145575"/>
    <n v="46412"/>
    <n v="7417"/>
    <n v="173"/>
    <n v="753766"/>
    <n v="283930"/>
    <n v="9154"/>
    <n v="1881442"/>
    <n v="2.11"/>
    <n v="43954062"/>
    <n v="10247166"/>
    <n v="7142762"/>
    <n v="1.93"/>
    <n v="5.21"/>
    <n v="4531"/>
    <n v="1.84"/>
    <n v="2.1"/>
  </r>
  <r>
    <x v="3"/>
    <x v="2"/>
    <x v="4"/>
    <x v="639"/>
    <n v="25934984"/>
    <n v="1280"/>
    <x v="83"/>
    <n v="50316"/>
    <n v="55943"/>
    <n v="43876"/>
    <n v="17264"/>
    <n v="469"/>
    <n v="25418"/>
    <n v="12020"/>
    <n v="6618"/>
    <n v="1921759"/>
    <n v="20.67"/>
    <n v="11753979"/>
    <n v="24284844"/>
    <n v="25412621"/>
    <n v="65.34"/>
    <n v="8.77"/>
    <n v="979"/>
    <n v="3.44"/>
    <n v="47.46"/>
  </r>
  <r>
    <x v="0"/>
    <x v="4"/>
    <x v="1"/>
    <x v="640"/>
    <n v="22347630"/>
    <n v="10677"/>
    <x v="91"/>
    <n v="60342"/>
    <n v="76839"/>
    <n v="29011"/>
    <n v="15244"/>
    <n v="344"/>
    <n v="822429"/>
    <n v="7532"/>
    <n v="5265"/>
    <n v="535398"/>
    <n v="5.25"/>
    <n v="28065616"/>
    <n v="22467918"/>
    <n v="16207628"/>
    <n v="38.44"/>
    <n v="7.87"/>
    <n v="3374"/>
    <n v="4.84"/>
    <n v="93.12"/>
  </r>
  <r>
    <x v="6"/>
    <x v="4"/>
    <x v="2"/>
    <x v="641"/>
    <n v="39147224"/>
    <n v="10056"/>
    <x v="212"/>
    <n v="16504"/>
    <n v="607962"/>
    <n v="8128"/>
    <n v="22221"/>
    <n v="444"/>
    <n v="356206"/>
    <n v="456891"/>
    <n v="7089"/>
    <n v="499864"/>
    <n v="17.89"/>
    <n v="35861828"/>
    <n v="11209939"/>
    <n v="14039641"/>
    <n v="67.260000000000005"/>
    <n v="1.3"/>
    <n v="4550"/>
    <n v="1.88"/>
    <n v="39.479999999999997"/>
  </r>
  <r>
    <x v="4"/>
    <x v="1"/>
    <x v="4"/>
    <x v="642"/>
    <n v="1078526"/>
    <n v="4983"/>
    <x v="271"/>
    <n v="69593"/>
    <n v="550633"/>
    <n v="32450"/>
    <n v="29490"/>
    <n v="1041"/>
    <n v="716869"/>
    <n v="110607"/>
    <n v="7965"/>
    <n v="1328182"/>
    <n v="25.07"/>
    <n v="6955855"/>
    <n v="2399414"/>
    <n v="24389146"/>
    <n v="58.87"/>
    <n v="8.9600000000000009"/>
    <n v="4637"/>
    <n v="0.4"/>
    <n v="42.82"/>
  </r>
  <r>
    <x v="2"/>
    <x v="4"/>
    <x v="2"/>
    <x v="643"/>
    <n v="7112208"/>
    <n v="14345"/>
    <x v="73"/>
    <n v="27660"/>
    <n v="250495"/>
    <n v="18897"/>
    <n v="47790"/>
    <n v="1093"/>
    <n v="274573"/>
    <n v="392753"/>
    <n v="9597"/>
    <n v="1390952"/>
    <n v="22.65"/>
    <n v="4209294"/>
    <n v="39612346"/>
    <n v="26502232"/>
    <n v="22.35"/>
    <n v="4.9800000000000004"/>
    <n v="406"/>
    <n v="4.5"/>
    <n v="57.86"/>
  </r>
  <r>
    <x v="4"/>
    <x v="3"/>
    <x v="2"/>
    <x v="644"/>
    <n v="48299289"/>
    <n v="16427"/>
    <x v="192"/>
    <n v="38196"/>
    <n v="51390"/>
    <n v="8168"/>
    <n v="24856"/>
    <n v="1361"/>
    <n v="507008"/>
    <n v="333969"/>
    <n v="8708"/>
    <n v="710441"/>
    <n v="22.59"/>
    <n v="48896297"/>
    <n v="18367620"/>
    <n v="2890632"/>
    <n v="84.72"/>
    <n v="7.57"/>
    <n v="4360"/>
    <n v="0.28999999999999998"/>
    <n v="46.29"/>
  </r>
  <r>
    <x v="4"/>
    <x v="3"/>
    <x v="3"/>
    <x v="645"/>
    <n v="8087676"/>
    <n v="253"/>
    <x v="29"/>
    <n v="66938"/>
    <n v="751401"/>
    <n v="6861"/>
    <n v="42513"/>
    <n v="627"/>
    <n v="626989"/>
    <n v="224747"/>
    <n v="6569"/>
    <n v="447015"/>
    <n v="15.54"/>
    <n v="21963245"/>
    <n v="31624181"/>
    <n v="9721896"/>
    <n v="49.19"/>
    <n v="1.83"/>
    <n v="4114"/>
    <n v="4.7699999999999996"/>
    <n v="16.86"/>
  </r>
  <r>
    <x v="4"/>
    <x v="1"/>
    <x v="4"/>
    <x v="646"/>
    <n v="45788543"/>
    <n v="16594"/>
    <x v="212"/>
    <n v="9605"/>
    <n v="322701"/>
    <n v="41758"/>
    <n v="46203"/>
    <n v="591"/>
    <n v="520837"/>
    <n v="165082"/>
    <n v="1491"/>
    <n v="591855"/>
    <n v="26.72"/>
    <n v="45605409"/>
    <n v="35838965"/>
    <n v="28146991"/>
    <n v="82.25"/>
    <n v="6.87"/>
    <n v="3891"/>
    <n v="3.36"/>
    <n v="1.86"/>
  </r>
  <r>
    <x v="5"/>
    <x v="3"/>
    <x v="4"/>
    <x v="647"/>
    <n v="17041989"/>
    <n v="15949"/>
    <x v="121"/>
    <n v="58388"/>
    <n v="983558"/>
    <n v="13750"/>
    <n v="48476"/>
    <n v="526"/>
    <n v="734959"/>
    <n v="121864"/>
    <n v="5213"/>
    <n v="483517"/>
    <n v="17.64"/>
    <n v="10615087"/>
    <n v="3866491"/>
    <n v="19866891"/>
    <n v="40.6"/>
    <n v="2.75"/>
    <n v="3980"/>
    <n v="4.71"/>
    <n v="60.98"/>
  </r>
  <r>
    <x v="4"/>
    <x v="0"/>
    <x v="2"/>
    <x v="648"/>
    <n v="22411760"/>
    <n v="3798"/>
    <x v="160"/>
    <n v="56501"/>
    <n v="2906"/>
    <n v="16988"/>
    <n v="15331"/>
    <n v="1711"/>
    <n v="379210"/>
    <n v="161398"/>
    <n v="4228"/>
    <n v="1756160"/>
    <n v="27.53"/>
    <n v="11351506"/>
    <n v="28954973"/>
    <n v="2507913"/>
    <n v="98.47"/>
    <n v="4.66"/>
    <n v="4897"/>
    <n v="1.08"/>
    <n v="92.08"/>
  </r>
  <r>
    <x v="3"/>
    <x v="1"/>
    <x v="1"/>
    <x v="649"/>
    <n v="1314422"/>
    <n v="6768"/>
    <x v="29"/>
    <n v="54309"/>
    <n v="958671"/>
    <n v="2979"/>
    <n v="12656"/>
    <n v="455"/>
    <n v="291190"/>
    <n v="204322"/>
    <n v="7508"/>
    <n v="1439145"/>
    <n v="16.399999999999999"/>
    <n v="10400647"/>
    <n v="38201625"/>
    <n v="4146181"/>
    <n v="77.05"/>
    <n v="0.66"/>
    <n v="876"/>
    <n v="0.3"/>
    <n v="10.64"/>
  </r>
  <r>
    <x v="6"/>
    <x v="0"/>
    <x v="3"/>
    <x v="650"/>
    <n v="22582647"/>
    <n v="19015"/>
    <x v="176"/>
    <n v="28043"/>
    <n v="533249"/>
    <n v="23524"/>
    <n v="22127"/>
    <n v="1292"/>
    <n v="209996"/>
    <n v="321343"/>
    <n v="4409"/>
    <n v="843495"/>
    <n v="15.18"/>
    <n v="41183470"/>
    <n v="30660900"/>
    <n v="8483057"/>
    <n v="96.6"/>
    <n v="1.94"/>
    <n v="715"/>
    <n v="2.4900000000000002"/>
    <n v="21.1"/>
  </r>
  <r>
    <x v="0"/>
    <x v="2"/>
    <x v="2"/>
    <x v="651"/>
    <n v="48661585"/>
    <n v="1143"/>
    <x v="45"/>
    <n v="34635"/>
    <n v="158212"/>
    <n v="7065"/>
    <n v="4903"/>
    <n v="1654"/>
    <n v="693198"/>
    <n v="112657"/>
    <n v="590"/>
    <n v="1162970"/>
    <n v="6.67"/>
    <n v="39217801"/>
    <n v="10372364"/>
    <n v="6860961"/>
    <n v="51.43"/>
    <n v="1.37"/>
    <n v="2078"/>
    <n v="2.31"/>
    <n v="37.020000000000003"/>
  </r>
  <r>
    <x v="1"/>
    <x v="0"/>
    <x v="0"/>
    <x v="652"/>
    <n v="16906440"/>
    <n v="15278"/>
    <x v="271"/>
    <n v="34132"/>
    <n v="906721"/>
    <n v="37684"/>
    <n v="9486"/>
    <n v="810"/>
    <n v="427999"/>
    <n v="349004"/>
    <n v="7379"/>
    <n v="1891248"/>
    <n v="16.34"/>
    <n v="33386237"/>
    <n v="34350616"/>
    <n v="28490746"/>
    <n v="47.37"/>
    <n v="2.78"/>
    <n v="3741"/>
    <n v="1.72"/>
    <n v="80.87"/>
  </r>
  <r>
    <x v="4"/>
    <x v="2"/>
    <x v="0"/>
    <x v="653"/>
    <n v="13163723"/>
    <n v="16084"/>
    <x v="21"/>
    <n v="16366"/>
    <n v="190773"/>
    <n v="23184"/>
    <n v="17280"/>
    <n v="187"/>
    <n v="607282"/>
    <n v="18113"/>
    <n v="9735"/>
    <n v="1917360"/>
    <n v="4.22"/>
    <n v="10397188"/>
    <n v="5455500"/>
    <n v="4188851"/>
    <n v="75.55"/>
    <n v="1.45"/>
    <n v="2632"/>
    <n v="4.79"/>
    <n v="26.93"/>
  </r>
  <r>
    <x v="2"/>
    <x v="2"/>
    <x v="3"/>
    <x v="654"/>
    <n v="28542104"/>
    <n v="5760"/>
    <x v="249"/>
    <n v="63580"/>
    <n v="340711"/>
    <n v="33365"/>
    <n v="21712"/>
    <n v="1020"/>
    <n v="471886"/>
    <n v="21546"/>
    <n v="3056"/>
    <n v="149940"/>
    <n v="26.09"/>
    <n v="48227187"/>
    <n v="9905111"/>
    <n v="16251688"/>
    <n v="88.03"/>
    <n v="7.07"/>
    <n v="603"/>
    <n v="4.13"/>
    <n v="88.21"/>
  </r>
  <r>
    <x v="4"/>
    <x v="0"/>
    <x v="1"/>
    <x v="655"/>
    <n v="20215903"/>
    <n v="9782"/>
    <x v="136"/>
    <n v="58889"/>
    <n v="343808"/>
    <n v="23704"/>
    <n v="4392"/>
    <n v="1592"/>
    <n v="740647"/>
    <n v="367453"/>
    <n v="2206"/>
    <n v="994477"/>
    <n v="20.28"/>
    <n v="16519028"/>
    <n v="17211102"/>
    <n v="4359122"/>
    <n v="96.41"/>
    <n v="0.78"/>
    <n v="377"/>
    <n v="3.34"/>
    <n v="5.5"/>
  </r>
  <r>
    <x v="2"/>
    <x v="1"/>
    <x v="2"/>
    <x v="656"/>
    <n v="16692668"/>
    <n v="19309"/>
    <x v="248"/>
    <n v="40236"/>
    <n v="82199"/>
    <n v="5622"/>
    <n v="1795"/>
    <n v="710"/>
    <n v="309210"/>
    <n v="496509"/>
    <n v="2708"/>
    <n v="344133"/>
    <n v="29.81"/>
    <n v="39148245"/>
    <n v="7538707"/>
    <n v="13509125"/>
    <n v="32.46"/>
    <n v="6.37"/>
    <n v="1238"/>
    <n v="0.9"/>
    <n v="94.1"/>
  </r>
  <r>
    <x v="3"/>
    <x v="3"/>
    <x v="4"/>
    <x v="657"/>
    <n v="39207867"/>
    <n v="3241"/>
    <x v="275"/>
    <n v="5150"/>
    <n v="786216"/>
    <n v="18261"/>
    <n v="45808"/>
    <n v="528"/>
    <n v="348108"/>
    <n v="201547"/>
    <n v="5981"/>
    <n v="1071798"/>
    <n v="2.76"/>
    <n v="26565995"/>
    <n v="8808263"/>
    <n v="15856513"/>
    <n v="79.87"/>
    <n v="1.84"/>
    <n v="199"/>
    <n v="3.7"/>
    <n v="56.07"/>
  </r>
  <r>
    <x v="2"/>
    <x v="3"/>
    <x v="3"/>
    <x v="658"/>
    <n v="35471274"/>
    <n v="18271"/>
    <x v="149"/>
    <n v="20423"/>
    <n v="100764"/>
    <n v="44932"/>
    <n v="11745"/>
    <n v="433"/>
    <n v="758641"/>
    <n v="455825"/>
    <n v="5722"/>
    <n v="80794"/>
    <n v="7.22"/>
    <n v="2214934"/>
    <n v="35026034"/>
    <n v="16016142"/>
    <n v="21.06"/>
    <n v="9.48"/>
    <n v="4802"/>
    <n v="3.66"/>
    <n v="65.88"/>
  </r>
  <r>
    <x v="1"/>
    <x v="2"/>
    <x v="1"/>
    <x v="659"/>
    <n v="4189024"/>
    <n v="739"/>
    <x v="135"/>
    <n v="5137"/>
    <n v="999722"/>
    <n v="28419"/>
    <n v="30187"/>
    <n v="287"/>
    <n v="128779"/>
    <n v="102361"/>
    <n v="747"/>
    <n v="1637788"/>
    <n v="26.31"/>
    <n v="35985932"/>
    <n v="22824830"/>
    <n v="4308368"/>
    <n v="54.56"/>
    <n v="9.36"/>
    <n v="2903"/>
    <n v="2.1800000000000002"/>
    <n v="36.770000000000003"/>
  </r>
  <r>
    <x v="6"/>
    <x v="2"/>
    <x v="4"/>
    <x v="660"/>
    <n v="21673866"/>
    <n v="2153"/>
    <x v="168"/>
    <n v="30992"/>
    <n v="123357"/>
    <n v="34467"/>
    <n v="30722"/>
    <n v="1941"/>
    <n v="82491"/>
    <n v="357983"/>
    <n v="8992"/>
    <n v="625142"/>
    <n v="11.86"/>
    <n v="28106480"/>
    <n v="26542780"/>
    <n v="3943183"/>
    <n v="17.98"/>
    <n v="2.64"/>
    <n v="1986"/>
    <n v="4.63"/>
    <n v="78.2"/>
  </r>
  <r>
    <x v="2"/>
    <x v="1"/>
    <x v="0"/>
    <x v="661"/>
    <n v="20979634"/>
    <n v="415"/>
    <x v="251"/>
    <n v="45921"/>
    <n v="343873"/>
    <n v="25605"/>
    <n v="16689"/>
    <n v="1590"/>
    <n v="355324"/>
    <n v="262801"/>
    <n v="6553"/>
    <n v="1914521"/>
    <n v="13.99"/>
    <n v="5499903"/>
    <n v="31521747"/>
    <n v="21591195"/>
    <n v="34.74"/>
    <n v="6.34"/>
    <n v="4438"/>
    <n v="0.92"/>
    <n v="16.66"/>
  </r>
  <r>
    <x v="2"/>
    <x v="4"/>
    <x v="0"/>
    <x v="662"/>
    <n v="11170216"/>
    <n v="14060"/>
    <x v="37"/>
    <n v="67917"/>
    <n v="422777"/>
    <n v="29171"/>
    <n v="43023"/>
    <n v="498"/>
    <n v="290657"/>
    <n v="423982"/>
    <n v="1497"/>
    <n v="785326"/>
    <n v="25.82"/>
    <n v="40177243"/>
    <n v="16093134"/>
    <n v="19558484"/>
    <n v="93.14"/>
    <n v="0.77"/>
    <n v="2786"/>
    <n v="1.41"/>
    <n v="4.8899999999999997"/>
  </r>
  <r>
    <x v="6"/>
    <x v="0"/>
    <x v="4"/>
    <x v="663"/>
    <n v="31307713"/>
    <n v="11817"/>
    <x v="175"/>
    <n v="35235"/>
    <n v="313712"/>
    <n v="22164"/>
    <n v="35375"/>
    <n v="1464"/>
    <n v="52632"/>
    <n v="168561"/>
    <n v="1379"/>
    <n v="842081"/>
    <n v="15.65"/>
    <n v="38941291"/>
    <n v="24021017"/>
    <n v="23000775"/>
    <n v="14.61"/>
    <n v="9.35"/>
    <n v="1006"/>
    <n v="0.41"/>
    <n v="39.549999999999997"/>
  </r>
  <r>
    <x v="1"/>
    <x v="2"/>
    <x v="3"/>
    <x v="664"/>
    <n v="4141771"/>
    <n v="16153"/>
    <x v="128"/>
    <n v="20122"/>
    <n v="896781"/>
    <n v="49868"/>
    <n v="17074"/>
    <n v="1804"/>
    <n v="255569"/>
    <n v="178872"/>
    <n v="8871"/>
    <n v="366130"/>
    <n v="5.8"/>
    <n v="44188600"/>
    <n v="13363108"/>
    <n v="5952521"/>
    <n v="63.24"/>
    <n v="5.47"/>
    <n v="3298"/>
    <n v="4"/>
    <n v="85.37"/>
  </r>
  <r>
    <x v="4"/>
    <x v="3"/>
    <x v="0"/>
    <x v="665"/>
    <n v="40482531"/>
    <n v="12792"/>
    <x v="130"/>
    <n v="24956"/>
    <n v="860734"/>
    <n v="46197"/>
    <n v="30573"/>
    <n v="302"/>
    <n v="486214"/>
    <n v="130978"/>
    <n v="7360"/>
    <n v="769103"/>
    <n v="26.76"/>
    <n v="4017380"/>
    <n v="16502140"/>
    <n v="11452553"/>
    <n v="59.3"/>
    <n v="0.91"/>
    <n v="465"/>
    <n v="3.15"/>
    <n v="75.489999999999995"/>
  </r>
  <r>
    <x v="2"/>
    <x v="1"/>
    <x v="2"/>
    <x v="666"/>
    <n v="33495939"/>
    <n v="12441"/>
    <x v="276"/>
    <n v="64879"/>
    <n v="620256"/>
    <n v="13796"/>
    <n v="33102"/>
    <n v="86"/>
    <n v="683944"/>
    <n v="99243"/>
    <n v="3770"/>
    <n v="871181"/>
    <n v="0.93"/>
    <n v="49114775"/>
    <n v="27165194"/>
    <n v="15655665"/>
    <n v="12.07"/>
    <n v="3.75"/>
    <n v="3504"/>
    <n v="1.64"/>
    <n v="51.72"/>
  </r>
  <r>
    <x v="6"/>
    <x v="0"/>
    <x v="4"/>
    <x v="667"/>
    <n v="4579441"/>
    <n v="4222"/>
    <x v="266"/>
    <n v="59560"/>
    <n v="161576"/>
    <n v="36854"/>
    <n v="47938"/>
    <n v="829"/>
    <n v="894787"/>
    <n v="24678"/>
    <n v="3342"/>
    <n v="234127"/>
    <n v="26.86"/>
    <n v="46086944"/>
    <n v="33893213"/>
    <n v="28257161"/>
    <n v="32.6"/>
    <n v="1.23"/>
    <n v="2695"/>
    <n v="0.9"/>
    <n v="57.21"/>
  </r>
  <r>
    <x v="3"/>
    <x v="1"/>
    <x v="4"/>
    <x v="668"/>
    <n v="5856430"/>
    <n v="15673"/>
    <x v="105"/>
    <n v="69685"/>
    <n v="903548"/>
    <n v="31320"/>
    <n v="26877"/>
    <n v="437"/>
    <n v="677003"/>
    <n v="74879"/>
    <n v="9088"/>
    <n v="505434"/>
    <n v="1.52"/>
    <n v="21343123"/>
    <n v="25457746"/>
    <n v="25252552"/>
    <n v="56.3"/>
    <n v="4.2300000000000004"/>
    <n v="3824"/>
    <n v="0.3"/>
    <n v="12.99"/>
  </r>
  <r>
    <x v="6"/>
    <x v="0"/>
    <x v="0"/>
    <x v="669"/>
    <n v="24052818"/>
    <n v="2428"/>
    <x v="260"/>
    <n v="25660"/>
    <n v="824578"/>
    <n v="665"/>
    <n v="45392"/>
    <n v="540"/>
    <n v="92127"/>
    <n v="140768"/>
    <n v="1546"/>
    <n v="1190871"/>
    <n v="19.98"/>
    <n v="3485627"/>
    <n v="32219685"/>
    <n v="5421211"/>
    <n v="18.72"/>
    <n v="6.86"/>
    <n v="134"/>
    <n v="0.92"/>
    <n v="84.07"/>
  </r>
  <r>
    <x v="3"/>
    <x v="0"/>
    <x v="3"/>
    <x v="670"/>
    <n v="2688370"/>
    <n v="17639"/>
    <x v="140"/>
    <n v="2168"/>
    <n v="565585"/>
    <n v="32694"/>
    <n v="33764"/>
    <n v="1045"/>
    <n v="123272"/>
    <n v="319744"/>
    <n v="3126"/>
    <n v="1228814"/>
    <n v="2.15"/>
    <n v="15010991"/>
    <n v="21092438"/>
    <n v="22694295"/>
    <n v="80.06"/>
    <n v="4.96"/>
    <n v="1985"/>
    <n v="2.3199999999999998"/>
    <n v="78.7"/>
  </r>
  <r>
    <x v="1"/>
    <x v="2"/>
    <x v="2"/>
    <x v="671"/>
    <n v="16361936"/>
    <n v="12081"/>
    <x v="15"/>
    <n v="46124"/>
    <n v="611682"/>
    <n v="24230"/>
    <n v="19512"/>
    <n v="832"/>
    <n v="229915"/>
    <n v="72634"/>
    <n v="5889"/>
    <n v="40369"/>
    <n v="21.19"/>
    <n v="34279743"/>
    <n v="27090868"/>
    <n v="17931488"/>
    <n v="97.22"/>
    <n v="4.1500000000000004"/>
    <n v="1466"/>
    <n v="1.31"/>
    <n v="65.650000000000006"/>
  </r>
  <r>
    <x v="4"/>
    <x v="1"/>
    <x v="3"/>
    <x v="672"/>
    <n v="10437093"/>
    <n v="5719"/>
    <x v="233"/>
    <n v="36897"/>
    <n v="914605"/>
    <n v="22995"/>
    <n v="770"/>
    <n v="796"/>
    <n v="666082"/>
    <n v="272373"/>
    <n v="6208"/>
    <n v="873811"/>
    <n v="1.02"/>
    <n v="41602333"/>
    <n v="3597120"/>
    <n v="24109635"/>
    <n v="21.48"/>
    <n v="1.63"/>
    <n v="1120"/>
    <n v="1.37"/>
    <n v="46.62"/>
  </r>
  <r>
    <x v="6"/>
    <x v="1"/>
    <x v="1"/>
    <x v="673"/>
    <n v="10455951"/>
    <n v="2785"/>
    <x v="201"/>
    <n v="16032"/>
    <n v="913374"/>
    <n v="26784"/>
    <n v="24152"/>
    <n v="559"/>
    <n v="513777"/>
    <n v="456710"/>
    <n v="8875"/>
    <n v="1905400"/>
    <n v="25.27"/>
    <n v="4060011"/>
    <n v="13038530"/>
    <n v="273591"/>
    <n v="18.690000000000001"/>
    <n v="2.83"/>
    <n v="3462"/>
    <n v="4.3899999999999997"/>
    <n v="96.45"/>
  </r>
  <r>
    <x v="0"/>
    <x v="3"/>
    <x v="1"/>
    <x v="674"/>
    <n v="47544555"/>
    <n v="9917"/>
    <x v="277"/>
    <n v="53797"/>
    <n v="462823"/>
    <n v="14605"/>
    <n v="44663"/>
    <n v="1540"/>
    <n v="259513"/>
    <n v="197218"/>
    <n v="1295"/>
    <n v="1848669"/>
    <n v="13.98"/>
    <n v="4987208"/>
    <n v="39747869"/>
    <n v="22138050"/>
    <n v="45.49"/>
    <n v="1.45"/>
    <n v="1571"/>
    <n v="2.62"/>
    <n v="87.9"/>
  </r>
  <r>
    <x v="0"/>
    <x v="3"/>
    <x v="0"/>
    <x v="675"/>
    <n v="14523346"/>
    <n v="8540"/>
    <x v="17"/>
    <n v="36294"/>
    <n v="17939"/>
    <n v="17463"/>
    <n v="42006"/>
    <n v="761"/>
    <n v="851000"/>
    <n v="273840"/>
    <n v="1385"/>
    <n v="1720527"/>
    <n v="2.8"/>
    <n v="24532844"/>
    <n v="25938617"/>
    <n v="2183721"/>
    <n v="74.78"/>
    <n v="8.17"/>
    <n v="1551"/>
    <n v="3.67"/>
    <n v="64.44"/>
  </r>
  <r>
    <x v="5"/>
    <x v="2"/>
    <x v="0"/>
    <x v="676"/>
    <n v="48451268"/>
    <n v="1006"/>
    <x v="116"/>
    <n v="44827"/>
    <n v="444931"/>
    <n v="8419"/>
    <n v="17300"/>
    <n v="1698"/>
    <n v="417665"/>
    <n v="65455"/>
    <n v="942"/>
    <n v="334862"/>
    <n v="21.2"/>
    <n v="10851056"/>
    <n v="16789173"/>
    <n v="237963"/>
    <n v="28.16"/>
    <n v="1.78"/>
    <n v="4141"/>
    <n v="0.27"/>
    <n v="37.18"/>
  </r>
  <r>
    <x v="2"/>
    <x v="2"/>
    <x v="0"/>
    <x v="677"/>
    <n v="29051568"/>
    <n v="9356"/>
    <x v="237"/>
    <n v="4516"/>
    <n v="307604"/>
    <n v="47952"/>
    <n v="5509"/>
    <n v="1526"/>
    <n v="16616"/>
    <n v="13074"/>
    <n v="3280"/>
    <n v="711595"/>
    <n v="14.68"/>
    <n v="24275600"/>
    <n v="14531214"/>
    <n v="27994001"/>
    <n v="1.99"/>
    <n v="6.16"/>
    <n v="2523"/>
    <n v="1.89"/>
    <n v="61.8"/>
  </r>
  <r>
    <x v="1"/>
    <x v="4"/>
    <x v="1"/>
    <x v="678"/>
    <n v="47923958"/>
    <n v="6673"/>
    <x v="71"/>
    <n v="20751"/>
    <n v="985080"/>
    <n v="33837"/>
    <n v="374"/>
    <n v="1737"/>
    <n v="706912"/>
    <n v="197845"/>
    <n v="1033"/>
    <n v="271114"/>
    <n v="5.73"/>
    <n v="32736269"/>
    <n v="25183653"/>
    <n v="20805270"/>
    <n v="54.12"/>
    <n v="3.76"/>
    <n v="785"/>
    <n v="2.4500000000000002"/>
    <n v="57.54"/>
  </r>
  <r>
    <x v="6"/>
    <x v="3"/>
    <x v="3"/>
    <x v="679"/>
    <n v="41040377"/>
    <n v="14958"/>
    <x v="131"/>
    <n v="31373"/>
    <n v="200294"/>
    <n v="5263"/>
    <n v="19807"/>
    <n v="466"/>
    <n v="576157"/>
    <n v="374248"/>
    <n v="2786"/>
    <n v="48922"/>
    <n v="0.47"/>
    <n v="47325254"/>
    <n v="22288077"/>
    <n v="27014739"/>
    <n v="95.66"/>
    <n v="2.65"/>
    <n v="2888"/>
    <n v="1.01"/>
    <n v="39.42"/>
  </r>
  <r>
    <x v="0"/>
    <x v="0"/>
    <x v="3"/>
    <x v="680"/>
    <n v="9644220"/>
    <n v="17908"/>
    <x v="106"/>
    <n v="31270"/>
    <n v="931170"/>
    <n v="48877"/>
    <n v="40805"/>
    <n v="1124"/>
    <n v="704677"/>
    <n v="251466"/>
    <n v="2233"/>
    <n v="1543190"/>
    <n v="12.54"/>
    <n v="39725882"/>
    <n v="14088845"/>
    <n v="6985012"/>
    <n v="39.130000000000003"/>
    <n v="6.57"/>
    <n v="2612"/>
    <n v="0.69"/>
    <n v="30.67"/>
  </r>
  <r>
    <x v="2"/>
    <x v="1"/>
    <x v="0"/>
    <x v="681"/>
    <n v="36130907"/>
    <n v="4510"/>
    <x v="54"/>
    <n v="11386"/>
    <n v="63119"/>
    <n v="40719"/>
    <n v="32545"/>
    <n v="1606"/>
    <n v="890032"/>
    <n v="389038"/>
    <n v="1620"/>
    <n v="818187"/>
    <n v="2.57"/>
    <n v="6438082"/>
    <n v="3245498"/>
    <n v="11425633"/>
    <n v="42.01"/>
    <n v="4.84"/>
    <n v="3956"/>
    <n v="4.3600000000000003"/>
    <n v="40.700000000000003"/>
  </r>
  <r>
    <x v="0"/>
    <x v="2"/>
    <x v="2"/>
    <x v="682"/>
    <n v="33622266"/>
    <n v="14036"/>
    <x v="278"/>
    <n v="65817"/>
    <n v="691681"/>
    <n v="45687"/>
    <n v="46310"/>
    <n v="1965"/>
    <n v="234482"/>
    <n v="486749"/>
    <n v="3535"/>
    <n v="1028903"/>
    <n v="2.83"/>
    <n v="38878111"/>
    <n v="1498111"/>
    <n v="21721897"/>
    <n v="96.89"/>
    <n v="4.3"/>
    <n v="1322"/>
    <n v="4.7"/>
    <n v="57.39"/>
  </r>
  <r>
    <x v="6"/>
    <x v="1"/>
    <x v="3"/>
    <x v="683"/>
    <n v="2641912"/>
    <n v="12688"/>
    <x v="98"/>
    <n v="66184"/>
    <n v="920283"/>
    <n v="34131"/>
    <n v="47186"/>
    <n v="674"/>
    <n v="739063"/>
    <n v="332446"/>
    <n v="3205"/>
    <n v="646214"/>
    <n v="8.02"/>
    <n v="27017070"/>
    <n v="16032031"/>
    <n v="5266440"/>
    <n v="69.459999999999994"/>
    <n v="6.13"/>
    <n v="4886"/>
    <n v="0.49"/>
    <n v="42.81"/>
  </r>
  <r>
    <x v="3"/>
    <x v="1"/>
    <x v="1"/>
    <x v="684"/>
    <n v="3644311"/>
    <n v="19262"/>
    <x v="102"/>
    <n v="38879"/>
    <n v="145258"/>
    <n v="37276"/>
    <n v="16115"/>
    <n v="684"/>
    <n v="205883"/>
    <n v="74542"/>
    <n v="2882"/>
    <n v="20416"/>
    <n v="18.91"/>
    <n v="23303690"/>
    <n v="3108958"/>
    <n v="18615258"/>
    <n v="71.92"/>
    <n v="5.17"/>
    <n v="1912"/>
    <n v="1.81"/>
    <n v="26.36"/>
  </r>
  <r>
    <x v="6"/>
    <x v="4"/>
    <x v="4"/>
    <x v="685"/>
    <n v="17562838"/>
    <n v="2900"/>
    <x v="192"/>
    <n v="50597"/>
    <n v="410675"/>
    <n v="34523"/>
    <n v="7949"/>
    <n v="1164"/>
    <n v="292299"/>
    <n v="152990"/>
    <n v="170"/>
    <n v="14672"/>
    <n v="15.9"/>
    <n v="34553961"/>
    <n v="23722652"/>
    <n v="14811305"/>
    <n v="56.27"/>
    <n v="3.38"/>
    <n v="4276"/>
    <n v="4.8"/>
    <n v="76.099999999999994"/>
  </r>
  <r>
    <x v="5"/>
    <x v="3"/>
    <x v="4"/>
    <x v="686"/>
    <n v="19240105"/>
    <n v="13349"/>
    <x v="139"/>
    <n v="40132"/>
    <n v="219827"/>
    <n v="519"/>
    <n v="13946"/>
    <n v="137"/>
    <n v="189374"/>
    <n v="436562"/>
    <n v="8140"/>
    <n v="477684"/>
    <n v="2.0699999999999998"/>
    <n v="5522177"/>
    <n v="4892712"/>
    <n v="14248225"/>
    <n v="97.46"/>
    <n v="5.81"/>
    <n v="1813"/>
    <n v="0.51"/>
    <n v="53.15"/>
  </r>
  <r>
    <x v="6"/>
    <x v="2"/>
    <x v="4"/>
    <x v="687"/>
    <n v="46469430"/>
    <n v="10748"/>
    <x v="18"/>
    <n v="4626"/>
    <n v="268201"/>
    <n v="31106"/>
    <n v="42039"/>
    <n v="577"/>
    <n v="572420"/>
    <n v="55698"/>
    <n v="9745"/>
    <n v="129145"/>
    <n v="29.05"/>
    <n v="32565209"/>
    <n v="15701804"/>
    <n v="12061863"/>
    <n v="68.89"/>
    <n v="6.86"/>
    <n v="4468"/>
    <n v="3.25"/>
    <n v="6.77"/>
  </r>
  <r>
    <x v="6"/>
    <x v="1"/>
    <x v="2"/>
    <x v="688"/>
    <n v="18673652"/>
    <n v="19398"/>
    <x v="273"/>
    <n v="56390"/>
    <n v="979167"/>
    <n v="44504"/>
    <n v="15873"/>
    <n v="709"/>
    <n v="211784"/>
    <n v="133826"/>
    <n v="3897"/>
    <n v="703356"/>
    <n v="26.62"/>
    <n v="19118275"/>
    <n v="21178124"/>
    <n v="25693527"/>
    <n v="89.5"/>
    <n v="0.75"/>
    <n v="872"/>
    <n v="4.8600000000000003"/>
    <n v="36.83"/>
  </r>
  <r>
    <x v="5"/>
    <x v="2"/>
    <x v="0"/>
    <x v="689"/>
    <n v="43110580"/>
    <n v="4644"/>
    <x v="102"/>
    <n v="17645"/>
    <n v="150805"/>
    <n v="10514"/>
    <n v="12571"/>
    <n v="1863"/>
    <n v="686636"/>
    <n v="33858"/>
    <n v="9787"/>
    <n v="1910103"/>
    <n v="7.78"/>
    <n v="22593488"/>
    <n v="8666777"/>
    <n v="10964464"/>
    <n v="69.94"/>
    <n v="4.93"/>
    <n v="592"/>
    <n v="4.8899999999999997"/>
    <n v="88.49"/>
  </r>
  <r>
    <x v="1"/>
    <x v="0"/>
    <x v="1"/>
    <x v="690"/>
    <n v="2695690"/>
    <n v="14332"/>
    <x v="160"/>
    <n v="55144"/>
    <n v="806589"/>
    <n v="47456"/>
    <n v="10457"/>
    <n v="227"/>
    <n v="436941"/>
    <n v="286448"/>
    <n v="9815"/>
    <n v="1064"/>
    <n v="3.67"/>
    <n v="40001243"/>
    <n v="31467060"/>
    <n v="27077776"/>
    <n v="73.510000000000005"/>
    <n v="1.05"/>
    <n v="2815"/>
    <n v="2.41"/>
    <n v="75.52"/>
  </r>
  <r>
    <x v="6"/>
    <x v="4"/>
    <x v="2"/>
    <x v="691"/>
    <n v="44031276"/>
    <n v="16335"/>
    <x v="176"/>
    <n v="14382"/>
    <n v="822462"/>
    <n v="7233"/>
    <n v="30634"/>
    <n v="280"/>
    <n v="191582"/>
    <n v="127409"/>
    <n v="4122"/>
    <n v="69835"/>
    <n v="28.27"/>
    <n v="18265437"/>
    <n v="17586354"/>
    <n v="26348956"/>
    <n v="29.04"/>
    <n v="2.27"/>
    <n v="2128"/>
    <n v="0.9"/>
    <n v="32.32"/>
  </r>
  <r>
    <x v="5"/>
    <x v="0"/>
    <x v="1"/>
    <x v="692"/>
    <n v="47453572"/>
    <n v="14384"/>
    <x v="237"/>
    <n v="5025"/>
    <n v="151685"/>
    <n v="1102"/>
    <n v="46950"/>
    <n v="683"/>
    <n v="214307"/>
    <n v="166100"/>
    <n v="5109"/>
    <n v="1251033"/>
    <n v="13.83"/>
    <n v="47109805"/>
    <n v="21669796"/>
    <n v="5559011"/>
    <n v="30.35"/>
    <n v="5.82"/>
    <n v="934"/>
    <n v="1.0900000000000001"/>
    <n v="93.82"/>
  </r>
  <r>
    <x v="2"/>
    <x v="2"/>
    <x v="1"/>
    <x v="693"/>
    <n v="47906955"/>
    <n v="6694"/>
    <x v="269"/>
    <n v="44226"/>
    <n v="633900"/>
    <n v="597"/>
    <n v="44656"/>
    <n v="827"/>
    <n v="197023"/>
    <n v="184781"/>
    <n v="9283"/>
    <n v="1972719"/>
    <n v="9.34"/>
    <n v="37777623"/>
    <n v="31532783"/>
    <n v="27281201"/>
    <n v="78.3"/>
    <n v="8.73"/>
    <n v="4336"/>
    <n v="4.46"/>
    <n v="7.66"/>
  </r>
  <r>
    <x v="3"/>
    <x v="2"/>
    <x v="0"/>
    <x v="694"/>
    <n v="20259626"/>
    <n v="2900"/>
    <x v="156"/>
    <n v="4443"/>
    <n v="378224"/>
    <n v="46715"/>
    <n v="12421"/>
    <n v="430"/>
    <n v="704672"/>
    <n v="30652"/>
    <n v="2837"/>
    <n v="1297371"/>
    <n v="14.71"/>
    <n v="22459484"/>
    <n v="37910664"/>
    <n v="5757662"/>
    <n v="29.67"/>
    <n v="8.89"/>
    <n v="3699"/>
    <n v="4.57"/>
    <n v="96.12"/>
  </r>
  <r>
    <x v="3"/>
    <x v="3"/>
    <x v="4"/>
    <x v="695"/>
    <n v="18681571"/>
    <n v="14983"/>
    <x v="163"/>
    <n v="22395"/>
    <n v="870460"/>
    <n v="19657"/>
    <n v="19475"/>
    <n v="1063"/>
    <n v="474318"/>
    <n v="403652"/>
    <n v="8599"/>
    <n v="1453847"/>
    <n v="23.18"/>
    <n v="44830979"/>
    <n v="27103998"/>
    <n v="1765040"/>
    <n v="56.28"/>
    <n v="1.1599999999999999"/>
    <n v="4560"/>
    <n v="3.08"/>
    <n v="24.57"/>
  </r>
  <r>
    <x v="6"/>
    <x v="1"/>
    <x v="0"/>
    <x v="696"/>
    <n v="28341304"/>
    <n v="215"/>
    <x v="234"/>
    <n v="11725"/>
    <n v="480498"/>
    <n v="45009"/>
    <n v="38226"/>
    <n v="1542"/>
    <n v="281539"/>
    <n v="309281"/>
    <n v="5228"/>
    <n v="350738"/>
    <n v="5.05"/>
    <n v="23241278"/>
    <n v="28320731"/>
    <n v="2380232"/>
    <n v="24.94"/>
    <n v="4.4800000000000004"/>
    <n v="3621"/>
    <n v="3.85"/>
    <n v="0.91"/>
  </r>
  <r>
    <x v="1"/>
    <x v="1"/>
    <x v="2"/>
    <x v="697"/>
    <n v="5556093"/>
    <n v="10751"/>
    <x v="129"/>
    <n v="34461"/>
    <n v="137260"/>
    <n v="38549"/>
    <n v="19652"/>
    <n v="1709"/>
    <n v="236392"/>
    <n v="147378"/>
    <n v="4169"/>
    <n v="1996507"/>
    <n v="23.02"/>
    <n v="31004434"/>
    <n v="2776245"/>
    <n v="24943292"/>
    <n v="81.7"/>
    <n v="6.04"/>
    <n v="3983"/>
    <n v="3.73"/>
    <n v="43.38"/>
  </r>
  <r>
    <x v="1"/>
    <x v="0"/>
    <x v="2"/>
    <x v="698"/>
    <n v="14858216"/>
    <n v="969"/>
    <x v="229"/>
    <n v="42115"/>
    <n v="239178"/>
    <n v="43565"/>
    <n v="31272"/>
    <n v="1686"/>
    <n v="738196"/>
    <n v="34931"/>
    <n v="6721"/>
    <n v="642204"/>
    <n v="22.48"/>
    <n v="17755994"/>
    <n v="23203719"/>
    <n v="28265426"/>
    <n v="11.05"/>
    <n v="1.9"/>
    <n v="3716"/>
    <n v="3.34"/>
    <n v="35.9"/>
  </r>
  <r>
    <x v="2"/>
    <x v="4"/>
    <x v="2"/>
    <x v="699"/>
    <n v="29089907"/>
    <n v="8355"/>
    <x v="170"/>
    <n v="29690"/>
    <n v="260418"/>
    <n v="6256"/>
    <n v="30373"/>
    <n v="1234"/>
    <n v="243218"/>
    <n v="43663"/>
    <n v="679"/>
    <n v="1956316"/>
    <n v="16.18"/>
    <n v="20918556"/>
    <n v="10823042"/>
    <n v="9270573"/>
    <n v="82.94"/>
    <n v="7.77"/>
    <n v="1771"/>
    <n v="4.1500000000000004"/>
    <n v="53.91"/>
  </r>
  <r>
    <x v="6"/>
    <x v="1"/>
    <x v="0"/>
    <x v="700"/>
    <n v="2964722"/>
    <n v="19938"/>
    <x v="57"/>
    <n v="2407"/>
    <n v="30680"/>
    <n v="43148"/>
    <n v="2117"/>
    <n v="301"/>
    <n v="717667"/>
    <n v="18461"/>
    <n v="7429"/>
    <n v="1918524"/>
    <n v="25.98"/>
    <n v="49752435"/>
    <n v="27774535"/>
    <n v="10850173"/>
    <n v="60.27"/>
    <n v="7.57"/>
    <n v="424"/>
    <n v="3.46"/>
    <n v="79.680000000000007"/>
  </r>
  <r>
    <x v="3"/>
    <x v="3"/>
    <x v="1"/>
    <x v="701"/>
    <n v="40613874"/>
    <n v="17425"/>
    <x v="232"/>
    <n v="59560"/>
    <n v="235433"/>
    <n v="29401"/>
    <n v="7938"/>
    <n v="1109"/>
    <n v="547874"/>
    <n v="303579"/>
    <n v="5487"/>
    <n v="852098"/>
    <n v="3.96"/>
    <n v="14247190"/>
    <n v="22631090"/>
    <n v="28875792"/>
    <n v="18.690000000000001"/>
    <n v="9.08"/>
    <n v="607"/>
    <n v="2.72"/>
    <n v="84.24"/>
  </r>
  <r>
    <x v="1"/>
    <x v="0"/>
    <x v="1"/>
    <x v="702"/>
    <n v="15636395"/>
    <n v="15765"/>
    <x v="177"/>
    <n v="48340"/>
    <n v="978623"/>
    <n v="41548"/>
    <n v="48012"/>
    <n v="1420"/>
    <n v="86137"/>
    <n v="74569"/>
    <n v="236"/>
    <n v="1244922"/>
    <n v="17.86"/>
    <n v="14446310"/>
    <n v="1077406"/>
    <n v="845377"/>
    <n v="54.2"/>
    <n v="0.57999999999999996"/>
    <n v="1330"/>
    <n v="1.26"/>
    <n v="40.119999999999997"/>
  </r>
  <r>
    <x v="6"/>
    <x v="0"/>
    <x v="3"/>
    <x v="703"/>
    <n v="6130761"/>
    <n v="3889"/>
    <x v="279"/>
    <n v="18794"/>
    <n v="365446"/>
    <n v="6554"/>
    <n v="19327"/>
    <n v="1276"/>
    <n v="475743"/>
    <n v="25916"/>
    <n v="6804"/>
    <n v="905726"/>
    <n v="13.48"/>
    <n v="27683117"/>
    <n v="16692889"/>
    <n v="13899012"/>
    <n v="28.25"/>
    <n v="2.56"/>
    <n v="3473"/>
    <n v="3.75"/>
    <n v="42.98"/>
  </r>
  <r>
    <x v="0"/>
    <x v="3"/>
    <x v="2"/>
    <x v="704"/>
    <n v="47994032"/>
    <n v="17692"/>
    <x v="280"/>
    <n v="20881"/>
    <n v="468616"/>
    <n v="12664"/>
    <n v="49088"/>
    <n v="532"/>
    <n v="683067"/>
    <n v="257522"/>
    <n v="2423"/>
    <n v="1322586"/>
    <n v="12.67"/>
    <n v="27607294"/>
    <n v="2389905"/>
    <n v="10142842"/>
    <n v="32.35"/>
    <n v="8.36"/>
    <n v="1178"/>
    <n v="2.42"/>
    <n v="14.82"/>
  </r>
  <r>
    <x v="1"/>
    <x v="4"/>
    <x v="1"/>
    <x v="705"/>
    <n v="3401092"/>
    <n v="11668"/>
    <x v="281"/>
    <n v="50703"/>
    <n v="449934"/>
    <n v="42367"/>
    <n v="25027"/>
    <n v="768"/>
    <n v="369978"/>
    <n v="146791"/>
    <n v="1032"/>
    <n v="1053465"/>
    <n v="7.58"/>
    <n v="23288751"/>
    <n v="889912"/>
    <n v="28266726"/>
    <n v="35.15"/>
    <n v="6.87"/>
    <n v="1410"/>
    <n v="1.54"/>
    <n v="4.75"/>
  </r>
  <r>
    <x v="5"/>
    <x v="3"/>
    <x v="3"/>
    <x v="706"/>
    <n v="16283215"/>
    <n v="13569"/>
    <x v="242"/>
    <n v="45354"/>
    <n v="561733"/>
    <n v="48279"/>
    <n v="13538"/>
    <n v="1914"/>
    <n v="676757"/>
    <n v="234395"/>
    <n v="6339"/>
    <n v="1167770"/>
    <n v="11.17"/>
    <n v="49812147"/>
    <n v="34254959"/>
    <n v="605109"/>
    <n v="6.33"/>
    <n v="9"/>
    <n v="3647"/>
    <n v="4.03"/>
    <n v="64.12"/>
  </r>
  <r>
    <x v="0"/>
    <x v="4"/>
    <x v="1"/>
    <x v="707"/>
    <n v="43965574"/>
    <n v="10826"/>
    <x v="212"/>
    <n v="15390"/>
    <n v="531084"/>
    <n v="24386"/>
    <n v="13323"/>
    <n v="1938"/>
    <n v="587871"/>
    <n v="92579"/>
    <n v="2940"/>
    <n v="1174290"/>
    <n v="3.24"/>
    <n v="26457351"/>
    <n v="21196773"/>
    <n v="24543343"/>
    <n v="98.6"/>
    <n v="1.04"/>
    <n v="1150"/>
    <n v="3.51"/>
    <n v="6.44"/>
  </r>
  <r>
    <x v="1"/>
    <x v="3"/>
    <x v="2"/>
    <x v="708"/>
    <n v="2222907"/>
    <n v="117"/>
    <x v="201"/>
    <n v="28307"/>
    <n v="834650"/>
    <n v="4846"/>
    <n v="1569"/>
    <n v="1404"/>
    <n v="95528"/>
    <n v="26919"/>
    <n v="5409"/>
    <n v="966730"/>
    <n v="7.55"/>
    <n v="16981686"/>
    <n v="3989551"/>
    <n v="16924431"/>
    <n v="3.15"/>
    <n v="6.17"/>
    <n v="1584"/>
    <n v="4.6900000000000004"/>
    <n v="73.38"/>
  </r>
  <r>
    <x v="3"/>
    <x v="3"/>
    <x v="4"/>
    <x v="709"/>
    <n v="28181791"/>
    <n v="9838"/>
    <x v="61"/>
    <n v="25502"/>
    <n v="695491"/>
    <n v="26205"/>
    <n v="15177"/>
    <n v="443"/>
    <n v="853889"/>
    <n v="405057"/>
    <n v="3132"/>
    <n v="1605199"/>
    <n v="8.16"/>
    <n v="13937356"/>
    <n v="22935414"/>
    <n v="11321936"/>
    <n v="66.25"/>
    <n v="5.91"/>
    <n v="2675"/>
    <n v="0.91"/>
    <n v="53.91"/>
  </r>
  <r>
    <x v="4"/>
    <x v="2"/>
    <x v="2"/>
    <x v="710"/>
    <n v="47118152"/>
    <n v="5710"/>
    <x v="57"/>
    <n v="23486"/>
    <n v="402339"/>
    <n v="25570"/>
    <n v="15353"/>
    <n v="1056"/>
    <n v="622339"/>
    <n v="384574"/>
    <n v="7080"/>
    <n v="1100123"/>
    <n v="21.62"/>
    <n v="30943655"/>
    <n v="20541815"/>
    <n v="9756659"/>
    <n v="37.119999999999997"/>
    <n v="0.84"/>
    <n v="4177"/>
    <n v="3.28"/>
    <n v="19.86"/>
  </r>
  <r>
    <x v="0"/>
    <x v="0"/>
    <x v="0"/>
    <x v="711"/>
    <n v="31499906"/>
    <n v="4528"/>
    <x v="282"/>
    <n v="39258"/>
    <n v="664582"/>
    <n v="30255"/>
    <n v="38608"/>
    <n v="259"/>
    <n v="865438"/>
    <n v="8898"/>
    <n v="4942"/>
    <n v="158234"/>
    <n v="1.46"/>
    <n v="12212436"/>
    <n v="38230048"/>
    <n v="13199751"/>
    <n v="64.599999999999994"/>
    <n v="5.38"/>
    <n v="1681"/>
    <n v="1.3"/>
    <n v="53.95"/>
  </r>
  <r>
    <x v="2"/>
    <x v="3"/>
    <x v="1"/>
    <x v="712"/>
    <n v="20147790"/>
    <n v="8260"/>
    <x v="26"/>
    <n v="58716"/>
    <n v="811506"/>
    <n v="21182"/>
    <n v="7533"/>
    <n v="1257"/>
    <n v="663143"/>
    <n v="156315"/>
    <n v="6961"/>
    <n v="745809"/>
    <n v="19.54"/>
    <n v="33001118"/>
    <n v="30676863"/>
    <n v="16578887"/>
    <n v="35.619999999999997"/>
    <n v="6.29"/>
    <n v="107"/>
    <n v="4.53"/>
    <n v="18.3"/>
  </r>
  <r>
    <x v="2"/>
    <x v="3"/>
    <x v="1"/>
    <x v="713"/>
    <n v="7382799"/>
    <n v="10972"/>
    <x v="3"/>
    <n v="11748"/>
    <n v="903520"/>
    <n v="39373"/>
    <n v="49787"/>
    <n v="1538"/>
    <n v="618812"/>
    <n v="311939"/>
    <n v="7730"/>
    <n v="681047"/>
    <n v="6.64"/>
    <n v="28444659"/>
    <n v="8633829"/>
    <n v="28820694"/>
    <n v="67.38"/>
    <n v="2.3199999999999998"/>
    <n v="1177"/>
    <n v="0.59"/>
    <n v="43.87"/>
  </r>
  <r>
    <x v="3"/>
    <x v="1"/>
    <x v="0"/>
    <x v="714"/>
    <n v="25229233"/>
    <n v="3571"/>
    <x v="193"/>
    <n v="63785"/>
    <n v="424041"/>
    <n v="43019"/>
    <n v="28449"/>
    <n v="1882"/>
    <n v="868413"/>
    <n v="426063"/>
    <n v="633"/>
    <n v="1934764"/>
    <n v="2.46"/>
    <n v="34178991"/>
    <n v="6684419"/>
    <n v="11605855"/>
    <n v="72.92"/>
    <n v="3.1"/>
    <n v="361"/>
    <n v="3.32"/>
    <n v="79.959999999999994"/>
  </r>
  <r>
    <x v="1"/>
    <x v="0"/>
    <x v="0"/>
    <x v="715"/>
    <n v="40976415"/>
    <n v="622"/>
    <x v="283"/>
    <n v="23738"/>
    <n v="824271"/>
    <n v="16043"/>
    <n v="15534"/>
    <n v="1331"/>
    <n v="262899"/>
    <n v="244042"/>
    <n v="6822"/>
    <n v="274139"/>
    <n v="9.02"/>
    <n v="1100911"/>
    <n v="35113001"/>
    <n v="7490282"/>
    <n v="69.06"/>
    <n v="6.58"/>
    <n v="3767"/>
    <n v="3.98"/>
    <n v="46.19"/>
  </r>
  <r>
    <x v="6"/>
    <x v="1"/>
    <x v="4"/>
    <x v="716"/>
    <n v="40581357"/>
    <n v="7132"/>
    <x v="167"/>
    <n v="42662"/>
    <n v="894544"/>
    <n v="45532"/>
    <n v="13295"/>
    <n v="738"/>
    <n v="515652"/>
    <n v="230359"/>
    <n v="4103"/>
    <n v="450704"/>
    <n v="6.73"/>
    <n v="35694899"/>
    <n v="21835664"/>
    <n v="18966894"/>
    <n v="11.4"/>
    <n v="4.95"/>
    <n v="2051"/>
    <n v="1.84"/>
    <n v="14.87"/>
  </r>
  <r>
    <x v="1"/>
    <x v="0"/>
    <x v="1"/>
    <x v="717"/>
    <n v="22643202"/>
    <n v="5445"/>
    <x v="17"/>
    <n v="16123"/>
    <n v="914946"/>
    <n v="35754"/>
    <n v="10983"/>
    <n v="795"/>
    <n v="208127"/>
    <n v="129644"/>
    <n v="9584"/>
    <n v="1052207"/>
    <n v="16.559999999999999"/>
    <n v="2030245"/>
    <n v="21024352"/>
    <n v="11216977"/>
    <n v="65.69"/>
    <n v="8.65"/>
    <n v="2787"/>
    <n v="4.78"/>
    <n v="72.38"/>
  </r>
  <r>
    <x v="3"/>
    <x v="1"/>
    <x v="1"/>
    <x v="718"/>
    <n v="45331979"/>
    <n v="15457"/>
    <x v="7"/>
    <n v="26616"/>
    <n v="593610"/>
    <n v="400"/>
    <n v="22704"/>
    <n v="69"/>
    <n v="540275"/>
    <n v="152354"/>
    <n v="6487"/>
    <n v="138039"/>
    <n v="10.72"/>
    <n v="36542938"/>
    <n v="29457549"/>
    <n v="2288421"/>
    <n v="28"/>
    <n v="3.75"/>
    <n v="3927"/>
    <n v="4.2699999999999996"/>
    <n v="18.68"/>
  </r>
  <r>
    <x v="2"/>
    <x v="3"/>
    <x v="4"/>
    <x v="719"/>
    <n v="12874888"/>
    <n v="18692"/>
    <x v="162"/>
    <n v="12182"/>
    <n v="843753"/>
    <n v="19239"/>
    <n v="35784"/>
    <n v="1477"/>
    <n v="501049"/>
    <n v="253900"/>
    <n v="3446"/>
    <n v="875726"/>
    <n v="28.98"/>
    <n v="14033007"/>
    <n v="18811946"/>
    <n v="25275189"/>
    <n v="2.88"/>
    <n v="3.03"/>
    <n v="2332"/>
    <n v="1.54"/>
    <n v="73.849999999999994"/>
  </r>
  <r>
    <x v="1"/>
    <x v="3"/>
    <x v="3"/>
    <x v="720"/>
    <n v="24036507"/>
    <n v="11144"/>
    <x v="268"/>
    <n v="63013"/>
    <n v="755534"/>
    <n v="10416"/>
    <n v="4312"/>
    <n v="1462"/>
    <n v="544134"/>
    <n v="9515"/>
    <n v="5738"/>
    <n v="1398998"/>
    <n v="28.91"/>
    <n v="37203030"/>
    <n v="9909378"/>
    <n v="521291"/>
    <n v="41.48"/>
    <n v="9.86"/>
    <n v="3233"/>
    <n v="0.14000000000000001"/>
    <n v="47.94"/>
  </r>
  <r>
    <x v="2"/>
    <x v="2"/>
    <x v="4"/>
    <x v="721"/>
    <n v="8843528"/>
    <n v="700"/>
    <x v="59"/>
    <n v="32331"/>
    <n v="635388"/>
    <n v="3412"/>
    <n v="22401"/>
    <n v="1848"/>
    <n v="821982"/>
    <n v="404401"/>
    <n v="3098"/>
    <n v="589759"/>
    <n v="13.31"/>
    <n v="4243638"/>
    <n v="16030935"/>
    <n v="298510"/>
    <n v="43.35"/>
    <n v="9.16"/>
    <n v="1481"/>
    <n v="1.55"/>
    <n v="45.37"/>
  </r>
  <r>
    <x v="0"/>
    <x v="1"/>
    <x v="2"/>
    <x v="722"/>
    <n v="44542449"/>
    <n v="5791"/>
    <x v="284"/>
    <n v="47098"/>
    <n v="524321"/>
    <n v="16440"/>
    <n v="4621"/>
    <n v="1387"/>
    <n v="271388"/>
    <n v="408324"/>
    <n v="8097"/>
    <n v="300260"/>
    <n v="23.85"/>
    <n v="23255636"/>
    <n v="28968541"/>
    <n v="4640475"/>
    <n v="46.72"/>
    <n v="0.78"/>
    <n v="3175"/>
    <n v="1.48"/>
    <n v="85.14"/>
  </r>
  <r>
    <x v="6"/>
    <x v="4"/>
    <x v="1"/>
    <x v="723"/>
    <n v="22809604"/>
    <n v="13331"/>
    <x v="187"/>
    <n v="27128"/>
    <n v="420204"/>
    <n v="24406"/>
    <n v="9382"/>
    <n v="982"/>
    <n v="418472"/>
    <n v="87738"/>
    <n v="5476"/>
    <n v="1928124"/>
    <n v="0.4"/>
    <n v="38989580"/>
    <n v="16349781"/>
    <n v="99830"/>
    <n v="70.48"/>
    <n v="7.82"/>
    <n v="4947"/>
    <n v="4.46"/>
    <n v="70.86"/>
  </r>
  <r>
    <x v="0"/>
    <x v="2"/>
    <x v="0"/>
    <x v="724"/>
    <n v="42074796"/>
    <n v="6888"/>
    <x v="24"/>
    <n v="32556"/>
    <n v="822939"/>
    <n v="1875"/>
    <n v="24322"/>
    <n v="1789"/>
    <n v="62096"/>
    <n v="18552"/>
    <n v="8253"/>
    <n v="1477019"/>
    <n v="16.43"/>
    <n v="39649444"/>
    <n v="12873211"/>
    <n v="13344485"/>
    <n v="30.88"/>
    <n v="1.55"/>
    <n v="4384"/>
    <n v="4.84"/>
    <n v="3.29"/>
  </r>
  <r>
    <x v="2"/>
    <x v="1"/>
    <x v="2"/>
    <x v="725"/>
    <n v="41506179"/>
    <n v="19021"/>
    <x v="151"/>
    <n v="22876"/>
    <n v="100244"/>
    <n v="37066"/>
    <n v="14090"/>
    <n v="480"/>
    <n v="739257"/>
    <n v="457391"/>
    <n v="5181"/>
    <n v="1706878"/>
    <n v="22.3"/>
    <n v="24156974"/>
    <n v="13358729"/>
    <n v="10454961"/>
    <n v="31.53"/>
    <n v="0.76"/>
    <n v="1825"/>
    <n v="0.45"/>
    <n v="29.62"/>
  </r>
  <r>
    <x v="2"/>
    <x v="1"/>
    <x v="1"/>
    <x v="726"/>
    <n v="28838206"/>
    <n v="3312"/>
    <x v="285"/>
    <n v="9949"/>
    <n v="492860"/>
    <n v="36536"/>
    <n v="15092"/>
    <n v="1167"/>
    <n v="382284"/>
    <n v="401436"/>
    <n v="1817"/>
    <n v="572952"/>
    <n v="6.51"/>
    <n v="49776729"/>
    <n v="8537968"/>
    <n v="22848439"/>
    <n v="6.06"/>
    <n v="3.1"/>
    <n v="1368"/>
    <n v="2.41"/>
    <n v="87.09"/>
  </r>
  <r>
    <x v="4"/>
    <x v="2"/>
    <x v="4"/>
    <x v="727"/>
    <n v="4381857"/>
    <n v="17772"/>
    <x v="156"/>
    <n v="52962"/>
    <n v="388932"/>
    <n v="5752"/>
    <n v="47419"/>
    <n v="23"/>
    <n v="841964"/>
    <n v="195557"/>
    <n v="8824"/>
    <n v="684429"/>
    <n v="1.84"/>
    <n v="33761255"/>
    <n v="37012892"/>
    <n v="16074206"/>
    <n v="68.680000000000007"/>
    <n v="3.06"/>
    <n v="4257"/>
    <n v="2.79"/>
    <n v="1.83"/>
  </r>
  <r>
    <x v="4"/>
    <x v="3"/>
    <x v="2"/>
    <x v="728"/>
    <n v="38592303"/>
    <n v="5046"/>
    <x v="3"/>
    <n v="25099"/>
    <n v="358395"/>
    <n v="21217"/>
    <n v="42871"/>
    <n v="964"/>
    <n v="829619"/>
    <n v="466672"/>
    <n v="4887"/>
    <n v="1136918"/>
    <n v="4.68"/>
    <n v="38521069"/>
    <n v="27480999"/>
    <n v="28889459"/>
    <n v="56.78"/>
    <n v="8.2799999999999994"/>
    <n v="3209"/>
    <n v="0.56000000000000005"/>
    <n v="54.53"/>
  </r>
  <r>
    <x v="0"/>
    <x v="1"/>
    <x v="1"/>
    <x v="729"/>
    <n v="5239400"/>
    <n v="11876"/>
    <x v="198"/>
    <n v="13716"/>
    <n v="811238"/>
    <n v="12489"/>
    <n v="30687"/>
    <n v="1448"/>
    <n v="177675"/>
    <n v="110305"/>
    <n v="2598"/>
    <n v="15407"/>
    <n v="13.26"/>
    <n v="36468710"/>
    <n v="15371509"/>
    <n v="13544712"/>
    <n v="34.94"/>
    <n v="7.25"/>
    <n v="1378"/>
    <n v="1.95"/>
    <n v="72.78"/>
  </r>
  <r>
    <x v="5"/>
    <x v="3"/>
    <x v="3"/>
    <x v="730"/>
    <n v="45116869"/>
    <n v="2877"/>
    <x v="235"/>
    <n v="53611"/>
    <n v="131364"/>
    <n v="1353"/>
    <n v="20884"/>
    <n v="745"/>
    <n v="153548"/>
    <n v="18270"/>
    <n v="9492"/>
    <n v="1163502"/>
    <n v="15.19"/>
    <n v="10648085"/>
    <n v="23286216"/>
    <n v="19683591"/>
    <n v="70.52"/>
    <n v="9.83"/>
    <n v="4435"/>
    <n v="1.65"/>
    <n v="62.19"/>
  </r>
  <r>
    <x v="0"/>
    <x v="2"/>
    <x v="3"/>
    <x v="731"/>
    <n v="15668970"/>
    <n v="14261"/>
    <x v="57"/>
    <n v="39885"/>
    <n v="824333"/>
    <n v="26986"/>
    <n v="8388"/>
    <n v="844"/>
    <n v="849795"/>
    <n v="16359"/>
    <n v="2653"/>
    <n v="322345"/>
    <n v="11.43"/>
    <n v="46816934"/>
    <n v="9754043"/>
    <n v="1319021"/>
    <n v="53.74"/>
    <n v="7.26"/>
    <n v="4024"/>
    <n v="2.73"/>
    <n v="76.05"/>
  </r>
  <r>
    <x v="4"/>
    <x v="3"/>
    <x v="0"/>
    <x v="732"/>
    <n v="22648023"/>
    <n v="5282"/>
    <x v="163"/>
    <n v="54144"/>
    <n v="411259"/>
    <n v="21371"/>
    <n v="1607"/>
    <n v="1198"/>
    <n v="394307"/>
    <n v="284343"/>
    <n v="1454"/>
    <n v="867525"/>
    <n v="13.2"/>
    <n v="49468118"/>
    <n v="4462571"/>
    <n v="22146962"/>
    <n v="46.92"/>
    <n v="4.47"/>
    <n v="4727"/>
    <n v="3.34"/>
    <n v="72.569999999999993"/>
  </r>
  <r>
    <x v="2"/>
    <x v="0"/>
    <x v="1"/>
    <x v="733"/>
    <n v="30943477"/>
    <n v="2267"/>
    <x v="270"/>
    <n v="66220"/>
    <n v="469977"/>
    <n v="39365"/>
    <n v="11610"/>
    <n v="1867"/>
    <n v="6777"/>
    <n v="140821"/>
    <n v="1138"/>
    <n v="448564"/>
    <n v="14.11"/>
    <n v="3995705"/>
    <n v="9702389"/>
    <n v="17929415"/>
    <n v="51.13"/>
    <n v="7.14"/>
    <n v="4515"/>
    <n v="3.55"/>
    <n v="69.2"/>
  </r>
  <r>
    <x v="3"/>
    <x v="4"/>
    <x v="3"/>
    <x v="734"/>
    <n v="26004364"/>
    <n v="19973"/>
    <x v="278"/>
    <n v="8837"/>
    <n v="403968"/>
    <n v="14691"/>
    <n v="3757"/>
    <n v="324"/>
    <n v="848792"/>
    <n v="129494"/>
    <n v="5807"/>
    <n v="1786917"/>
    <n v="23.08"/>
    <n v="24527389"/>
    <n v="1154969"/>
    <n v="19366113"/>
    <n v="63.63"/>
    <n v="9.99"/>
    <n v="269"/>
    <n v="0.77"/>
    <n v="82.15"/>
  </r>
  <r>
    <x v="0"/>
    <x v="1"/>
    <x v="4"/>
    <x v="735"/>
    <n v="17778806"/>
    <n v="14282"/>
    <x v="42"/>
    <n v="50355"/>
    <n v="201065"/>
    <n v="4311"/>
    <n v="13889"/>
    <n v="1892"/>
    <n v="133832"/>
    <n v="489107"/>
    <n v="3192"/>
    <n v="1591742"/>
    <n v="3.16"/>
    <n v="18618257"/>
    <n v="11264264"/>
    <n v="25540792"/>
    <n v="66"/>
    <n v="7.25"/>
    <n v="3352"/>
    <n v="4.08"/>
    <n v="64.569999999999993"/>
  </r>
  <r>
    <x v="2"/>
    <x v="4"/>
    <x v="1"/>
    <x v="736"/>
    <n v="20637708"/>
    <n v="14076"/>
    <x v="7"/>
    <n v="48299"/>
    <n v="698976"/>
    <n v="48075"/>
    <n v="13027"/>
    <n v="1694"/>
    <n v="241015"/>
    <n v="321502"/>
    <n v="6116"/>
    <n v="84100"/>
    <n v="23.07"/>
    <n v="37286909"/>
    <n v="13471379"/>
    <n v="28216259"/>
    <n v="28.9"/>
    <n v="7.74"/>
    <n v="2916"/>
    <n v="3.42"/>
    <n v="40.24"/>
  </r>
  <r>
    <x v="3"/>
    <x v="3"/>
    <x v="4"/>
    <x v="737"/>
    <n v="18149544"/>
    <n v="19395"/>
    <x v="111"/>
    <n v="20159"/>
    <n v="53127"/>
    <n v="10794"/>
    <n v="24825"/>
    <n v="1883"/>
    <n v="785365"/>
    <n v="172209"/>
    <n v="3759"/>
    <n v="1914637"/>
    <n v="20.66"/>
    <n v="25954921"/>
    <n v="18127031"/>
    <n v="13144094"/>
    <n v="14.07"/>
    <n v="9.41"/>
    <n v="1946"/>
    <n v="4.46"/>
    <n v="47.19"/>
  </r>
  <r>
    <x v="3"/>
    <x v="1"/>
    <x v="4"/>
    <x v="738"/>
    <n v="38863911"/>
    <n v="19660"/>
    <x v="53"/>
    <n v="52012"/>
    <n v="993281"/>
    <n v="2934"/>
    <n v="18974"/>
    <n v="1371"/>
    <n v="721743"/>
    <n v="274049"/>
    <n v="3029"/>
    <n v="1498212"/>
    <n v="22.25"/>
    <n v="47100745"/>
    <n v="12140067"/>
    <n v="26706533"/>
    <n v="15.66"/>
    <n v="1.58"/>
    <n v="4494"/>
    <n v="2.2999999999999998"/>
    <n v="71.67"/>
  </r>
  <r>
    <x v="4"/>
    <x v="3"/>
    <x v="3"/>
    <x v="739"/>
    <n v="47808038"/>
    <n v="13928"/>
    <x v="150"/>
    <n v="60305"/>
    <n v="787885"/>
    <n v="16406"/>
    <n v="28822"/>
    <n v="797"/>
    <n v="287385"/>
    <n v="254699"/>
    <n v="9552"/>
    <n v="495308"/>
    <n v="22.03"/>
    <n v="8378022"/>
    <n v="25545973"/>
    <n v="23934722"/>
    <n v="63.94"/>
    <n v="7.2"/>
    <n v="2352"/>
    <n v="4.4800000000000004"/>
    <n v="87.63"/>
  </r>
  <r>
    <x v="0"/>
    <x v="0"/>
    <x v="1"/>
    <x v="740"/>
    <n v="3610691"/>
    <n v="6887"/>
    <x v="253"/>
    <n v="18106"/>
    <n v="862864"/>
    <n v="10394"/>
    <n v="40210"/>
    <n v="17"/>
    <n v="382364"/>
    <n v="43247"/>
    <n v="5095"/>
    <n v="1272635"/>
    <n v="14.12"/>
    <n v="22884189"/>
    <n v="37521406"/>
    <n v="21938274"/>
    <n v="87.29"/>
    <n v="8.58"/>
    <n v="4597"/>
    <n v="4.34"/>
    <n v="27.22"/>
  </r>
  <r>
    <x v="1"/>
    <x v="2"/>
    <x v="2"/>
    <x v="741"/>
    <n v="18635313"/>
    <n v="7081"/>
    <x v="179"/>
    <n v="59123"/>
    <n v="910304"/>
    <n v="26872"/>
    <n v="24724"/>
    <n v="43"/>
    <n v="299855"/>
    <n v="74380"/>
    <n v="63"/>
    <n v="1617032"/>
    <n v="6.34"/>
    <n v="27121305"/>
    <n v="36142592"/>
    <n v="24974674"/>
    <n v="40.950000000000003"/>
    <n v="9.57"/>
    <n v="4234"/>
    <n v="2.25"/>
    <n v="34.21"/>
  </r>
  <r>
    <x v="6"/>
    <x v="1"/>
    <x v="3"/>
    <x v="742"/>
    <n v="12188962"/>
    <n v="14856"/>
    <x v="286"/>
    <n v="9720"/>
    <n v="612650"/>
    <n v="41708"/>
    <n v="18900"/>
    <n v="154"/>
    <n v="765252"/>
    <n v="177225"/>
    <n v="1345"/>
    <n v="1299972"/>
    <n v="16.100000000000001"/>
    <n v="48753478"/>
    <n v="23800900"/>
    <n v="18372380"/>
    <n v="16.95"/>
    <n v="2.5"/>
    <n v="3776"/>
    <n v="1.97"/>
    <n v="93.07"/>
  </r>
  <r>
    <x v="4"/>
    <x v="0"/>
    <x v="3"/>
    <x v="743"/>
    <n v="13931835"/>
    <n v="3766"/>
    <x v="66"/>
    <n v="38661"/>
    <n v="274120"/>
    <n v="49956"/>
    <n v="4735"/>
    <n v="866"/>
    <n v="783233"/>
    <n v="369021"/>
    <n v="974"/>
    <n v="1824345"/>
    <n v="28.74"/>
    <n v="45371910"/>
    <n v="3109668"/>
    <n v="17419529"/>
    <n v="75.66"/>
    <n v="5.29"/>
    <n v="2092"/>
    <n v="4.67"/>
    <n v="57.85"/>
  </r>
  <r>
    <x v="4"/>
    <x v="0"/>
    <x v="1"/>
    <x v="744"/>
    <n v="25590373"/>
    <n v="3464"/>
    <x v="120"/>
    <n v="22120"/>
    <n v="639464"/>
    <n v="41093"/>
    <n v="43215"/>
    <n v="921"/>
    <n v="435258"/>
    <n v="97941"/>
    <n v="4161"/>
    <n v="318006"/>
    <n v="17.66"/>
    <n v="38785220"/>
    <n v="16393445"/>
    <n v="24316555"/>
    <n v="83.25"/>
    <n v="6.97"/>
    <n v="572"/>
    <n v="3.6"/>
    <n v="17.899999999999999"/>
  </r>
  <r>
    <x v="1"/>
    <x v="1"/>
    <x v="1"/>
    <x v="745"/>
    <n v="18571531"/>
    <n v="17882"/>
    <x v="50"/>
    <n v="20790"/>
    <n v="100122"/>
    <n v="20800"/>
    <n v="20694"/>
    <n v="1400"/>
    <n v="269513"/>
    <n v="484709"/>
    <n v="5962"/>
    <n v="1008126"/>
    <n v="0.33"/>
    <n v="47789452"/>
    <n v="24281810"/>
    <n v="8811309"/>
    <n v="88.06"/>
    <n v="2.85"/>
    <n v="2757"/>
    <n v="4.6500000000000004"/>
    <n v="66.37"/>
  </r>
  <r>
    <x v="6"/>
    <x v="3"/>
    <x v="4"/>
    <x v="746"/>
    <n v="23364811"/>
    <n v="620"/>
    <x v="133"/>
    <n v="59655"/>
    <n v="333548"/>
    <n v="43397"/>
    <n v="26335"/>
    <n v="742"/>
    <n v="487334"/>
    <n v="124826"/>
    <n v="9814"/>
    <n v="1000529"/>
    <n v="1.79"/>
    <n v="3360408"/>
    <n v="24671303"/>
    <n v="12441373"/>
    <n v="60.68"/>
    <n v="6.2"/>
    <n v="3048"/>
    <n v="4.01"/>
    <n v="99.08"/>
  </r>
  <r>
    <x v="2"/>
    <x v="0"/>
    <x v="1"/>
    <x v="747"/>
    <n v="19852724"/>
    <n v="19338"/>
    <x v="276"/>
    <n v="60643"/>
    <n v="345076"/>
    <n v="37909"/>
    <n v="32552"/>
    <n v="1906"/>
    <n v="350260"/>
    <n v="390603"/>
    <n v="8649"/>
    <n v="29004"/>
    <n v="29.79"/>
    <n v="16978919"/>
    <n v="1269343"/>
    <n v="11574621"/>
    <n v="86.07"/>
    <n v="2.95"/>
    <n v="3971"/>
    <n v="3.09"/>
    <n v="82.35"/>
  </r>
  <r>
    <x v="5"/>
    <x v="4"/>
    <x v="4"/>
    <x v="748"/>
    <n v="44819259"/>
    <n v="13338"/>
    <x v="239"/>
    <n v="48374"/>
    <n v="622458"/>
    <n v="21352"/>
    <n v="46047"/>
    <n v="1851"/>
    <n v="95015"/>
    <n v="76315"/>
    <n v="6596"/>
    <n v="807903"/>
    <n v="2.16"/>
    <n v="28162121"/>
    <n v="7282060"/>
    <n v="16450555"/>
    <n v="1.54"/>
    <n v="3.67"/>
    <n v="959"/>
    <n v="0.67"/>
    <n v="74.569999999999993"/>
  </r>
  <r>
    <x v="0"/>
    <x v="0"/>
    <x v="3"/>
    <x v="749"/>
    <n v="43801351"/>
    <n v="18939"/>
    <x v="17"/>
    <n v="43907"/>
    <n v="340851"/>
    <n v="36439"/>
    <n v="13102"/>
    <n v="1425"/>
    <n v="150994"/>
    <n v="113009"/>
    <n v="3330"/>
    <n v="525252"/>
    <n v="1.38"/>
    <n v="19609934"/>
    <n v="28660451"/>
    <n v="5360593"/>
    <n v="10.72"/>
    <n v="4.6900000000000004"/>
    <n v="4587"/>
    <n v="1.53"/>
    <n v="20.8"/>
  </r>
  <r>
    <x v="5"/>
    <x v="3"/>
    <x v="0"/>
    <x v="750"/>
    <n v="5010784"/>
    <n v="967"/>
    <x v="152"/>
    <n v="51071"/>
    <n v="483863"/>
    <n v="28312"/>
    <n v="30392"/>
    <n v="224"/>
    <n v="691473"/>
    <n v="357609"/>
    <n v="1740"/>
    <n v="617108"/>
    <n v="10.59"/>
    <n v="47772280"/>
    <n v="8154410"/>
    <n v="27950807"/>
    <n v="9.26"/>
    <n v="5.53"/>
    <n v="4183"/>
    <n v="4.8499999999999996"/>
    <n v="87.61"/>
  </r>
  <r>
    <x v="2"/>
    <x v="3"/>
    <x v="2"/>
    <x v="751"/>
    <n v="31493940"/>
    <n v="10116"/>
    <x v="53"/>
    <n v="35812"/>
    <n v="952192"/>
    <n v="40060"/>
    <n v="39780"/>
    <n v="216"/>
    <n v="188588"/>
    <n v="273229"/>
    <n v="6055"/>
    <n v="1240815"/>
    <n v="29.08"/>
    <n v="8622654"/>
    <n v="167659"/>
    <n v="2670111"/>
    <n v="71.260000000000005"/>
    <n v="4.7699999999999996"/>
    <n v="1930"/>
    <n v="1.67"/>
    <n v="52.58"/>
  </r>
  <r>
    <x v="4"/>
    <x v="4"/>
    <x v="3"/>
    <x v="752"/>
    <n v="26955291"/>
    <n v="7032"/>
    <x v="287"/>
    <n v="50570"/>
    <n v="218912"/>
    <n v="15438"/>
    <n v="25467"/>
    <n v="1591"/>
    <n v="584898"/>
    <n v="487139"/>
    <n v="6321"/>
    <n v="1676093"/>
    <n v="9.56"/>
    <n v="2292007"/>
    <n v="36965668"/>
    <n v="2477512"/>
    <n v="6.96"/>
    <n v="5.19"/>
    <n v="3329"/>
    <n v="0.56000000000000005"/>
    <n v="88.93"/>
  </r>
  <r>
    <x v="6"/>
    <x v="0"/>
    <x v="1"/>
    <x v="753"/>
    <n v="36624898"/>
    <n v="6386"/>
    <x v="175"/>
    <n v="51901"/>
    <n v="773466"/>
    <n v="23385"/>
    <n v="6141"/>
    <n v="30"/>
    <n v="220101"/>
    <n v="274635"/>
    <n v="1954"/>
    <n v="478044"/>
    <n v="12.3"/>
    <n v="4550642"/>
    <n v="8902601"/>
    <n v="20729646"/>
    <n v="49.64"/>
    <n v="3.34"/>
    <n v="4355"/>
    <n v="3.57"/>
    <n v="32.979999999999997"/>
  </r>
  <r>
    <x v="4"/>
    <x v="3"/>
    <x v="2"/>
    <x v="754"/>
    <n v="46098220"/>
    <n v="18112"/>
    <x v="210"/>
    <n v="61186"/>
    <n v="236851"/>
    <n v="44999"/>
    <n v="46039"/>
    <n v="1892"/>
    <n v="733782"/>
    <n v="4961"/>
    <n v="279"/>
    <n v="852740"/>
    <n v="19.02"/>
    <n v="6735714"/>
    <n v="13570270"/>
    <n v="19518526"/>
    <n v="47.27"/>
    <n v="2.0099999999999998"/>
    <n v="2610"/>
    <n v="3.7"/>
    <n v="6.21"/>
  </r>
  <r>
    <x v="3"/>
    <x v="1"/>
    <x v="0"/>
    <x v="755"/>
    <n v="48676440"/>
    <n v="17049"/>
    <x v="206"/>
    <n v="51251"/>
    <n v="356933"/>
    <n v="18482"/>
    <n v="25225"/>
    <n v="1082"/>
    <n v="296677"/>
    <n v="456898"/>
    <n v="2391"/>
    <n v="1395689"/>
    <n v="0.72"/>
    <n v="4902021"/>
    <n v="13184215"/>
    <n v="5370777"/>
    <n v="31.07"/>
    <n v="0.95"/>
    <n v="3122"/>
    <n v="1.5"/>
    <n v="47.6"/>
  </r>
  <r>
    <x v="4"/>
    <x v="2"/>
    <x v="0"/>
    <x v="756"/>
    <n v="46926160"/>
    <n v="9991"/>
    <x v="288"/>
    <n v="66171"/>
    <n v="621804"/>
    <n v="32471"/>
    <n v="12622"/>
    <n v="1915"/>
    <n v="832145"/>
    <n v="262068"/>
    <n v="9232"/>
    <n v="1064144"/>
    <n v="26.93"/>
    <n v="7479773"/>
    <n v="24255718"/>
    <n v="27669890"/>
    <n v="87.04"/>
    <n v="2.36"/>
    <n v="3876"/>
    <n v="1.56"/>
    <n v="26.98"/>
  </r>
  <r>
    <x v="4"/>
    <x v="2"/>
    <x v="4"/>
    <x v="757"/>
    <n v="9679253"/>
    <n v="12430"/>
    <x v="269"/>
    <n v="37160"/>
    <n v="920521"/>
    <n v="47279"/>
    <n v="37315"/>
    <n v="897"/>
    <n v="261205"/>
    <n v="183100"/>
    <n v="6439"/>
    <n v="1029464"/>
    <n v="15.58"/>
    <n v="12171896"/>
    <n v="22929736"/>
    <n v="19644182"/>
    <n v="17.04"/>
    <n v="6.03"/>
    <n v="4526"/>
    <n v="2.4"/>
    <n v="71.52"/>
  </r>
  <r>
    <x v="2"/>
    <x v="2"/>
    <x v="2"/>
    <x v="758"/>
    <n v="3787093"/>
    <n v="19939"/>
    <x v="9"/>
    <n v="20156"/>
    <n v="533245"/>
    <n v="43877"/>
    <n v="13101"/>
    <n v="1376"/>
    <n v="455709"/>
    <n v="296608"/>
    <n v="961"/>
    <n v="1583330"/>
    <n v="14"/>
    <n v="20515134"/>
    <n v="35599913"/>
    <n v="11245002"/>
    <n v="35.25"/>
    <n v="7.97"/>
    <n v="2925"/>
    <n v="0.21"/>
    <n v="95.71"/>
  </r>
  <r>
    <x v="2"/>
    <x v="0"/>
    <x v="4"/>
    <x v="759"/>
    <n v="1517481"/>
    <n v="11717"/>
    <x v="202"/>
    <n v="18929"/>
    <n v="508750"/>
    <n v="41212"/>
    <n v="35113"/>
    <n v="934"/>
    <n v="13438"/>
    <n v="344643"/>
    <n v="6827"/>
    <n v="1271705"/>
    <n v="25.82"/>
    <n v="28723678"/>
    <n v="27812609"/>
    <n v="1907273"/>
    <n v="77.42"/>
    <n v="2.11"/>
    <n v="2956"/>
    <n v="3.97"/>
    <n v="69.099999999999994"/>
  </r>
  <r>
    <x v="2"/>
    <x v="4"/>
    <x v="3"/>
    <x v="760"/>
    <n v="8951115"/>
    <n v="4579"/>
    <x v="248"/>
    <n v="67606"/>
    <n v="108724"/>
    <n v="48373"/>
    <n v="37099"/>
    <n v="444"/>
    <n v="131342"/>
    <n v="490351"/>
    <n v="1217"/>
    <n v="1631188"/>
    <n v="28.59"/>
    <n v="24174207"/>
    <n v="30913731"/>
    <n v="14691235"/>
    <n v="3.04"/>
    <n v="1.53"/>
    <n v="4539"/>
    <n v="1.65"/>
    <n v="88.69"/>
  </r>
  <r>
    <x v="5"/>
    <x v="3"/>
    <x v="2"/>
    <x v="761"/>
    <n v="26771534"/>
    <n v="17569"/>
    <x v="198"/>
    <n v="63559"/>
    <n v="399008"/>
    <n v="13026"/>
    <n v="29769"/>
    <n v="1258"/>
    <n v="264918"/>
    <n v="249172"/>
    <n v="8566"/>
    <n v="889640"/>
    <n v="12.7"/>
    <n v="2752878"/>
    <n v="9118303"/>
    <n v="12007035"/>
    <n v="67.3"/>
    <n v="7.62"/>
    <n v="4541"/>
    <n v="4.28"/>
    <n v="45.3"/>
  </r>
  <r>
    <x v="3"/>
    <x v="1"/>
    <x v="3"/>
    <x v="762"/>
    <n v="32090452"/>
    <n v="12242"/>
    <x v="246"/>
    <n v="55205"/>
    <n v="974486"/>
    <n v="42089"/>
    <n v="46032"/>
    <n v="1130"/>
    <n v="871322"/>
    <n v="224502"/>
    <n v="6007"/>
    <n v="147539"/>
    <n v="5.17"/>
    <n v="24689951"/>
    <n v="32433980"/>
    <n v="13031293"/>
    <n v="81.64"/>
    <n v="3.4"/>
    <n v="594"/>
    <n v="4.03"/>
    <n v="77.16"/>
  </r>
  <r>
    <x v="2"/>
    <x v="1"/>
    <x v="4"/>
    <x v="763"/>
    <n v="2838377"/>
    <n v="8616"/>
    <x v="237"/>
    <n v="69475"/>
    <n v="276381"/>
    <n v="19648"/>
    <n v="569"/>
    <n v="1214"/>
    <n v="425531"/>
    <n v="43023"/>
    <n v="4130"/>
    <n v="1016059"/>
    <n v="24.47"/>
    <n v="4319020"/>
    <n v="22174221"/>
    <n v="10535708"/>
    <n v="93.23"/>
    <n v="9.5399999999999991"/>
    <n v="3147"/>
    <n v="3.34"/>
    <n v="84.3"/>
  </r>
  <r>
    <x v="6"/>
    <x v="0"/>
    <x v="2"/>
    <x v="764"/>
    <n v="32771884"/>
    <n v="7276"/>
    <x v="174"/>
    <n v="65341"/>
    <n v="839018"/>
    <n v="5435"/>
    <n v="723"/>
    <n v="529"/>
    <n v="469734"/>
    <n v="401235"/>
    <n v="1392"/>
    <n v="1649819"/>
    <n v="12.1"/>
    <n v="32889209"/>
    <n v="7072368"/>
    <n v="11044773"/>
    <n v="87.63"/>
    <n v="7.29"/>
    <n v="3675"/>
    <n v="1.69"/>
    <n v="71.09"/>
  </r>
  <r>
    <x v="5"/>
    <x v="2"/>
    <x v="4"/>
    <x v="765"/>
    <n v="18083780"/>
    <n v="5212"/>
    <x v="247"/>
    <n v="43863"/>
    <n v="806684"/>
    <n v="8493"/>
    <n v="37371"/>
    <n v="1936"/>
    <n v="150533"/>
    <n v="187068"/>
    <n v="2076"/>
    <n v="148748"/>
    <n v="28.07"/>
    <n v="4168142"/>
    <n v="28280908"/>
    <n v="25447418"/>
    <n v="31.94"/>
    <n v="3.6"/>
    <n v="3555"/>
    <n v="2.63"/>
    <n v="50.78"/>
  </r>
  <r>
    <x v="1"/>
    <x v="0"/>
    <x v="2"/>
    <x v="766"/>
    <n v="21196165"/>
    <n v="16640"/>
    <x v="146"/>
    <n v="66439"/>
    <n v="404923"/>
    <n v="6691"/>
    <n v="15194"/>
    <n v="737"/>
    <n v="20544"/>
    <n v="348062"/>
    <n v="8966"/>
    <n v="1144367"/>
    <n v="28.5"/>
    <n v="38630993"/>
    <n v="20576254"/>
    <n v="5649396"/>
    <n v="58.64"/>
    <n v="3.25"/>
    <n v="1134"/>
    <n v="2.2799999999999998"/>
    <n v="62.59"/>
  </r>
  <r>
    <x v="6"/>
    <x v="4"/>
    <x v="4"/>
    <x v="767"/>
    <n v="40101943"/>
    <n v="1369"/>
    <x v="11"/>
    <n v="8194"/>
    <n v="690566"/>
    <n v="2763"/>
    <n v="15271"/>
    <n v="1702"/>
    <n v="99872"/>
    <n v="440712"/>
    <n v="4316"/>
    <n v="687874"/>
    <n v="3.44"/>
    <n v="45645836"/>
    <n v="30636977"/>
    <n v="9300940"/>
    <n v="7.73"/>
    <n v="5.48"/>
    <n v="602"/>
    <n v="1.76"/>
    <n v="70.05"/>
  </r>
  <r>
    <x v="0"/>
    <x v="4"/>
    <x v="0"/>
    <x v="768"/>
    <n v="44052513"/>
    <n v="1191"/>
    <x v="198"/>
    <n v="67214"/>
    <n v="528831"/>
    <n v="20389"/>
    <n v="20382"/>
    <n v="1606"/>
    <n v="277350"/>
    <n v="166012"/>
    <n v="6196"/>
    <n v="896150"/>
    <n v="28.7"/>
    <n v="4645399"/>
    <n v="4071889"/>
    <n v="2181752"/>
    <n v="25.79"/>
    <n v="1.25"/>
    <n v="1203"/>
    <n v="4.26"/>
    <n v="25.31"/>
  </r>
  <r>
    <x v="0"/>
    <x v="3"/>
    <x v="4"/>
    <x v="769"/>
    <n v="16402677"/>
    <n v="4677"/>
    <x v="248"/>
    <n v="30777"/>
    <n v="700495"/>
    <n v="31498"/>
    <n v="32150"/>
    <n v="873"/>
    <n v="137546"/>
    <n v="173427"/>
    <n v="4589"/>
    <n v="547938"/>
    <n v="11.05"/>
    <n v="3099815"/>
    <n v="25318847"/>
    <n v="16912729"/>
    <n v="9.42"/>
    <n v="1.62"/>
    <n v="3988"/>
    <n v="2.4700000000000002"/>
    <n v="80.959999999999994"/>
  </r>
  <r>
    <x v="6"/>
    <x v="3"/>
    <x v="0"/>
    <x v="770"/>
    <n v="27377776"/>
    <n v="14551"/>
    <x v="289"/>
    <n v="27183"/>
    <n v="248541"/>
    <n v="36009"/>
    <n v="33034"/>
    <n v="565"/>
    <n v="339108"/>
    <n v="333404"/>
    <n v="8142"/>
    <n v="351434"/>
    <n v="19.39"/>
    <n v="7899405"/>
    <n v="20735897"/>
    <n v="8499923"/>
    <n v="31.52"/>
    <n v="2.17"/>
    <n v="2295"/>
    <n v="4.18"/>
    <n v="95.03"/>
  </r>
  <r>
    <x v="2"/>
    <x v="4"/>
    <x v="4"/>
    <x v="771"/>
    <n v="49230509"/>
    <n v="2740"/>
    <x v="23"/>
    <n v="28445"/>
    <n v="629935"/>
    <n v="35825"/>
    <n v="47352"/>
    <n v="1268"/>
    <n v="546001"/>
    <n v="128265"/>
    <n v="6260"/>
    <n v="1127277"/>
    <n v="1.04"/>
    <n v="47103045"/>
    <n v="17093791"/>
    <n v="4082564"/>
    <n v="87.52"/>
    <n v="7.86"/>
    <n v="1736"/>
    <n v="0.62"/>
    <n v="46.52"/>
  </r>
  <r>
    <x v="1"/>
    <x v="4"/>
    <x v="2"/>
    <x v="772"/>
    <n v="32251305"/>
    <n v="7373"/>
    <x v="95"/>
    <n v="68038"/>
    <n v="560319"/>
    <n v="16934"/>
    <n v="32554"/>
    <n v="1885"/>
    <n v="526738"/>
    <n v="230414"/>
    <n v="8471"/>
    <n v="1846691"/>
    <n v="26.67"/>
    <n v="31726909"/>
    <n v="30157291"/>
    <n v="4738707"/>
    <n v="34.72"/>
    <n v="5.38"/>
    <n v="743"/>
    <n v="0.79"/>
    <n v="70.11"/>
  </r>
  <r>
    <x v="1"/>
    <x v="4"/>
    <x v="2"/>
    <x v="773"/>
    <n v="1237954"/>
    <n v="3305"/>
    <x v="134"/>
    <n v="17198"/>
    <n v="175001"/>
    <n v="5574"/>
    <n v="47"/>
    <n v="75"/>
    <n v="254543"/>
    <n v="401492"/>
    <n v="7897"/>
    <n v="230164"/>
    <n v="19.25"/>
    <n v="34914679"/>
    <n v="34228536"/>
    <n v="12158029"/>
    <n v="56.19"/>
    <n v="0.6"/>
    <n v="3840"/>
    <n v="4.8899999999999997"/>
    <n v="73.7"/>
  </r>
  <r>
    <x v="5"/>
    <x v="0"/>
    <x v="2"/>
    <x v="774"/>
    <n v="36962488"/>
    <n v="5263"/>
    <x v="290"/>
    <n v="22411"/>
    <n v="328891"/>
    <n v="38179"/>
    <n v="43042"/>
    <n v="546"/>
    <n v="740873"/>
    <n v="295773"/>
    <n v="4841"/>
    <n v="1502611"/>
    <n v="19.309999999999999"/>
    <n v="6224984"/>
    <n v="3470966"/>
    <n v="22631788"/>
    <n v="43.34"/>
    <n v="6.9"/>
    <n v="547"/>
    <n v="2.98"/>
    <n v="66.22"/>
  </r>
  <r>
    <x v="1"/>
    <x v="4"/>
    <x v="1"/>
    <x v="775"/>
    <n v="8340130"/>
    <n v="4158"/>
    <x v="284"/>
    <n v="51577"/>
    <n v="452067"/>
    <n v="1587"/>
    <n v="12707"/>
    <n v="266"/>
    <n v="797343"/>
    <n v="449722"/>
    <n v="7161"/>
    <n v="606266"/>
    <n v="27.07"/>
    <n v="18736828"/>
    <n v="16533495"/>
    <n v="16163853"/>
    <n v="45.89"/>
    <n v="4.53"/>
    <n v="2145"/>
    <n v="2.6"/>
    <n v="54.71"/>
  </r>
  <r>
    <x v="0"/>
    <x v="1"/>
    <x v="3"/>
    <x v="776"/>
    <n v="9595781"/>
    <n v="19454"/>
    <x v="15"/>
    <n v="16867"/>
    <n v="318455"/>
    <n v="42782"/>
    <n v="41430"/>
    <n v="316"/>
    <n v="325388"/>
    <n v="144113"/>
    <n v="9666"/>
    <n v="1578724"/>
    <n v="15.25"/>
    <n v="18596289"/>
    <n v="8275104"/>
    <n v="3887239"/>
    <n v="96.96"/>
    <n v="5.35"/>
    <n v="662"/>
    <n v="2.66"/>
    <n v="88.16"/>
  </r>
  <r>
    <x v="3"/>
    <x v="2"/>
    <x v="2"/>
    <x v="777"/>
    <n v="6434261"/>
    <n v="18291"/>
    <x v="122"/>
    <n v="63501"/>
    <n v="506329"/>
    <n v="38688"/>
    <n v="48708"/>
    <n v="1835"/>
    <n v="673631"/>
    <n v="1769"/>
    <n v="1059"/>
    <n v="660089"/>
    <n v="12.32"/>
    <n v="46087711"/>
    <n v="18790707"/>
    <n v="17446191"/>
    <n v="29.62"/>
    <n v="2.5299999999999998"/>
    <n v="4017"/>
    <n v="1.1499999999999999"/>
    <n v="44.89"/>
  </r>
  <r>
    <x v="2"/>
    <x v="4"/>
    <x v="0"/>
    <x v="778"/>
    <n v="5010579"/>
    <n v="19223"/>
    <x v="244"/>
    <n v="15266"/>
    <n v="761691"/>
    <n v="11688"/>
    <n v="31717"/>
    <n v="1144"/>
    <n v="463526"/>
    <n v="498748"/>
    <n v="1922"/>
    <n v="556639"/>
    <n v="25.98"/>
    <n v="4131980"/>
    <n v="26291345"/>
    <n v="27933068"/>
    <n v="62.73"/>
    <n v="5.74"/>
    <n v="425"/>
    <n v="3.62"/>
    <n v="6.11"/>
  </r>
  <r>
    <x v="1"/>
    <x v="2"/>
    <x v="2"/>
    <x v="779"/>
    <n v="43122487"/>
    <n v="9852"/>
    <x v="213"/>
    <n v="40422"/>
    <n v="66867"/>
    <n v="4409"/>
    <n v="26026"/>
    <n v="1859"/>
    <n v="821985"/>
    <n v="216954"/>
    <n v="6101"/>
    <n v="1555496"/>
    <n v="22.27"/>
    <n v="27845792"/>
    <n v="5111179"/>
    <n v="26108695"/>
    <n v="42.01"/>
    <n v="9.8000000000000007"/>
    <n v="855"/>
    <n v="0.52"/>
    <n v="84.46"/>
  </r>
  <r>
    <x v="5"/>
    <x v="0"/>
    <x v="1"/>
    <x v="780"/>
    <n v="26727228"/>
    <n v="11463"/>
    <x v="211"/>
    <n v="36208"/>
    <n v="89780"/>
    <n v="5783"/>
    <n v="34610"/>
    <n v="24"/>
    <n v="249466"/>
    <n v="379617"/>
    <n v="4592"/>
    <n v="1374464"/>
    <n v="28.47"/>
    <n v="34576415"/>
    <n v="6912690"/>
    <n v="10072142"/>
    <n v="6.11"/>
    <n v="1.2"/>
    <n v="970"/>
    <n v="2.91"/>
    <n v="67.400000000000006"/>
  </r>
  <r>
    <x v="0"/>
    <x v="2"/>
    <x v="0"/>
    <x v="781"/>
    <n v="47616458"/>
    <n v="15045"/>
    <x v="249"/>
    <n v="32213"/>
    <n v="58196"/>
    <n v="33480"/>
    <n v="48295"/>
    <n v="1455"/>
    <n v="445792"/>
    <n v="307103"/>
    <n v="6349"/>
    <n v="680706"/>
    <n v="28.2"/>
    <n v="18470711"/>
    <n v="10057816"/>
    <n v="10528498"/>
    <n v="48.93"/>
    <n v="3.2"/>
    <n v="3654"/>
    <n v="2.9"/>
    <n v="84.93"/>
  </r>
  <r>
    <x v="3"/>
    <x v="0"/>
    <x v="1"/>
    <x v="782"/>
    <n v="11868856"/>
    <n v="12633"/>
    <x v="84"/>
    <n v="8367"/>
    <n v="598993"/>
    <n v="26751"/>
    <n v="23994"/>
    <n v="159"/>
    <n v="138617"/>
    <n v="55886"/>
    <n v="2473"/>
    <n v="907630"/>
    <n v="11.47"/>
    <n v="22310039"/>
    <n v="33693676"/>
    <n v="22786752"/>
    <n v="81.33"/>
    <n v="2.81"/>
    <n v="1493"/>
    <n v="4.58"/>
    <n v="13.85"/>
  </r>
  <r>
    <x v="4"/>
    <x v="1"/>
    <x v="0"/>
    <x v="783"/>
    <n v="45057027"/>
    <n v="5071"/>
    <x v="118"/>
    <n v="36362"/>
    <n v="845326"/>
    <n v="38174"/>
    <n v="5177"/>
    <n v="595"/>
    <n v="320267"/>
    <n v="182255"/>
    <n v="8108"/>
    <n v="861587"/>
    <n v="13.41"/>
    <n v="35381082"/>
    <n v="22571742"/>
    <n v="132053"/>
    <n v="9.8800000000000008"/>
    <n v="2.86"/>
    <n v="1595"/>
    <n v="2.68"/>
    <n v="3.08"/>
  </r>
  <r>
    <x v="4"/>
    <x v="0"/>
    <x v="4"/>
    <x v="784"/>
    <n v="45196953"/>
    <n v="18821"/>
    <x v="100"/>
    <n v="52588"/>
    <n v="875072"/>
    <n v="12041"/>
    <n v="442"/>
    <n v="1137"/>
    <n v="30214"/>
    <n v="433392"/>
    <n v="8096"/>
    <n v="1171025"/>
    <n v="7.68"/>
    <n v="13546755"/>
    <n v="34276105"/>
    <n v="5432561"/>
    <n v="6.96"/>
    <n v="4.0999999999999996"/>
    <n v="1260"/>
    <n v="0.77"/>
    <n v="93.44"/>
  </r>
  <r>
    <x v="3"/>
    <x v="0"/>
    <x v="3"/>
    <x v="785"/>
    <n v="15134171"/>
    <n v="6632"/>
    <x v="206"/>
    <n v="39285"/>
    <n v="501653"/>
    <n v="23227"/>
    <n v="4161"/>
    <n v="1758"/>
    <n v="690246"/>
    <n v="20423"/>
    <n v="6748"/>
    <n v="601988"/>
    <n v="19.82"/>
    <n v="18759383"/>
    <n v="2591090"/>
    <n v="20931303"/>
    <n v="15.36"/>
    <n v="8.27"/>
    <n v="2130"/>
    <n v="2.91"/>
    <n v="14.77"/>
  </r>
  <r>
    <x v="0"/>
    <x v="3"/>
    <x v="3"/>
    <x v="786"/>
    <n v="30661753"/>
    <n v="13505"/>
    <x v="172"/>
    <n v="37307"/>
    <n v="277735"/>
    <n v="35201"/>
    <n v="47690"/>
    <n v="899"/>
    <n v="371927"/>
    <n v="230602"/>
    <n v="4549"/>
    <n v="760774"/>
    <n v="10.94"/>
    <n v="22420758"/>
    <n v="489922"/>
    <n v="15023874"/>
    <n v="76.44"/>
    <n v="9.17"/>
    <n v="4737"/>
    <n v="0.55000000000000004"/>
    <n v="80.97"/>
  </r>
  <r>
    <x v="5"/>
    <x v="4"/>
    <x v="1"/>
    <x v="787"/>
    <n v="24840709"/>
    <n v="13167"/>
    <x v="147"/>
    <n v="20867"/>
    <n v="622535"/>
    <n v="36069"/>
    <n v="6421"/>
    <n v="501"/>
    <n v="271206"/>
    <n v="257349"/>
    <n v="594"/>
    <n v="1842963"/>
    <n v="23.58"/>
    <n v="33735964"/>
    <n v="4436134"/>
    <n v="10307967"/>
    <n v="72.400000000000006"/>
    <n v="2.42"/>
    <n v="2198"/>
    <n v="1.1000000000000001"/>
    <n v="82.32"/>
  </r>
  <r>
    <x v="3"/>
    <x v="4"/>
    <x v="3"/>
    <x v="788"/>
    <n v="8204694"/>
    <n v="19000"/>
    <x v="18"/>
    <n v="57523"/>
    <n v="705253"/>
    <n v="16654"/>
    <n v="30798"/>
    <n v="1189"/>
    <n v="317692"/>
    <n v="6121"/>
    <n v="5452"/>
    <n v="1307147"/>
    <n v="3.65"/>
    <n v="16085601"/>
    <n v="17742314"/>
    <n v="22946166"/>
    <n v="56.5"/>
    <n v="5.66"/>
    <n v="1558"/>
    <n v="0.25"/>
    <n v="70.87"/>
  </r>
  <r>
    <x v="2"/>
    <x v="1"/>
    <x v="1"/>
    <x v="789"/>
    <n v="36433339"/>
    <n v="17409"/>
    <x v="202"/>
    <n v="7378"/>
    <n v="1727"/>
    <n v="26370"/>
    <n v="26633"/>
    <n v="1012"/>
    <n v="355939"/>
    <n v="498057"/>
    <n v="506"/>
    <n v="464506"/>
    <n v="3.49"/>
    <n v="20068893"/>
    <n v="35861404"/>
    <n v="5727961"/>
    <n v="46.82"/>
    <n v="6.55"/>
    <n v="963"/>
    <n v="2.62"/>
    <n v="13.13"/>
  </r>
  <r>
    <x v="2"/>
    <x v="1"/>
    <x v="1"/>
    <x v="790"/>
    <n v="7490607"/>
    <n v="1312"/>
    <x v="155"/>
    <n v="28926"/>
    <n v="939863"/>
    <n v="29482"/>
    <n v="22114"/>
    <n v="702"/>
    <n v="12526"/>
    <n v="302051"/>
    <n v="4889"/>
    <n v="438509"/>
    <n v="6.13"/>
    <n v="10903699"/>
    <n v="12146131"/>
    <n v="15191865"/>
    <n v="88.83"/>
    <n v="5.46"/>
    <n v="2830"/>
    <n v="0.51"/>
    <n v="66.739999999999995"/>
  </r>
  <r>
    <x v="4"/>
    <x v="4"/>
    <x v="1"/>
    <x v="791"/>
    <n v="31838158"/>
    <n v="7432"/>
    <x v="138"/>
    <n v="14180"/>
    <n v="44822"/>
    <n v="11586"/>
    <n v="266"/>
    <n v="1198"/>
    <n v="106647"/>
    <n v="390549"/>
    <n v="7637"/>
    <n v="717696"/>
    <n v="2.5299999999999998"/>
    <n v="5517967"/>
    <n v="33496764"/>
    <n v="16787944"/>
    <n v="76.67"/>
    <n v="4.62"/>
    <n v="439"/>
    <n v="2.4"/>
    <n v="88.91"/>
  </r>
  <r>
    <x v="1"/>
    <x v="3"/>
    <x v="3"/>
    <x v="792"/>
    <n v="5032688"/>
    <n v="3377"/>
    <x v="70"/>
    <n v="37931"/>
    <n v="366543"/>
    <n v="5322"/>
    <n v="33449"/>
    <n v="0"/>
    <n v="556377"/>
    <n v="312599"/>
    <n v="8212"/>
    <n v="809094"/>
    <n v="18.600000000000001"/>
    <n v="31860802"/>
    <n v="12559402"/>
    <n v="5086588"/>
    <n v="81.19"/>
    <n v="2.3199999999999998"/>
    <n v="4099"/>
    <n v="4.67"/>
    <n v="42.55"/>
  </r>
  <r>
    <x v="5"/>
    <x v="4"/>
    <x v="1"/>
    <x v="793"/>
    <n v="24856967"/>
    <n v="18693"/>
    <x v="84"/>
    <n v="25014"/>
    <n v="113113"/>
    <n v="13932"/>
    <n v="33267"/>
    <n v="1922"/>
    <n v="632987"/>
    <n v="495755"/>
    <n v="1399"/>
    <n v="1580272"/>
    <n v="4.42"/>
    <n v="23236528"/>
    <n v="36275120"/>
    <n v="22890439"/>
    <n v="81.33"/>
    <n v="5.14"/>
    <n v="4305"/>
    <n v="3.63"/>
    <n v="41.35"/>
  </r>
  <r>
    <x v="4"/>
    <x v="3"/>
    <x v="3"/>
    <x v="794"/>
    <n v="28495739"/>
    <n v="10070"/>
    <x v="274"/>
    <n v="59502"/>
    <n v="220606"/>
    <n v="29299"/>
    <n v="39667"/>
    <n v="740"/>
    <n v="884206"/>
    <n v="113515"/>
    <n v="3201"/>
    <n v="1745339"/>
    <n v="4.8"/>
    <n v="16240484"/>
    <n v="13131804"/>
    <n v="10603376"/>
    <n v="64.27"/>
    <n v="4.3099999999999996"/>
    <n v="3675"/>
    <n v="0.48"/>
    <n v="44.29"/>
  </r>
  <r>
    <x v="1"/>
    <x v="1"/>
    <x v="1"/>
    <x v="795"/>
    <n v="31697881"/>
    <n v="17691"/>
    <x v="216"/>
    <n v="6470"/>
    <n v="393575"/>
    <n v="25179"/>
    <n v="44684"/>
    <n v="1109"/>
    <n v="289488"/>
    <n v="438048"/>
    <n v="7854"/>
    <n v="264369"/>
    <n v="0.43"/>
    <n v="8609707"/>
    <n v="37603177"/>
    <n v="19092790"/>
    <n v="45.8"/>
    <n v="8.06"/>
    <n v="1120"/>
    <n v="1.2"/>
    <n v="8.23"/>
  </r>
  <r>
    <x v="1"/>
    <x v="2"/>
    <x v="2"/>
    <x v="796"/>
    <n v="2863162"/>
    <n v="16898"/>
    <x v="232"/>
    <n v="15953"/>
    <n v="929433"/>
    <n v="5257"/>
    <n v="18076"/>
    <n v="1597"/>
    <n v="353059"/>
    <n v="270955"/>
    <n v="6763"/>
    <n v="930700"/>
    <n v="23.46"/>
    <n v="28734742"/>
    <n v="39810896"/>
    <n v="2919798"/>
    <n v="86.47"/>
    <n v="7.75"/>
    <n v="4841"/>
    <n v="3.4"/>
    <n v="89.2"/>
  </r>
  <r>
    <x v="2"/>
    <x v="1"/>
    <x v="1"/>
    <x v="797"/>
    <n v="6180820"/>
    <n v="14112"/>
    <x v="80"/>
    <n v="39507"/>
    <n v="391732"/>
    <n v="46501"/>
    <n v="45381"/>
    <n v="319"/>
    <n v="209074"/>
    <n v="456395"/>
    <n v="7962"/>
    <n v="464002"/>
    <n v="24.37"/>
    <n v="26839936"/>
    <n v="39975604"/>
    <n v="9427575"/>
    <n v="92.6"/>
    <n v="1.77"/>
    <n v="4903"/>
    <n v="4.4800000000000004"/>
    <n v="86.92"/>
  </r>
  <r>
    <x v="0"/>
    <x v="1"/>
    <x v="0"/>
    <x v="798"/>
    <n v="19970010"/>
    <n v="19728"/>
    <x v="291"/>
    <n v="7523"/>
    <n v="585379"/>
    <n v="46136"/>
    <n v="32756"/>
    <n v="1424"/>
    <n v="214840"/>
    <n v="8004"/>
    <n v="5190"/>
    <n v="1196020"/>
    <n v="4.8600000000000003"/>
    <n v="49155936"/>
    <n v="39503521"/>
    <n v="25354831"/>
    <n v="2.38"/>
    <n v="1.34"/>
    <n v="2620"/>
    <n v="0.26"/>
    <n v="99.79"/>
  </r>
  <r>
    <x v="6"/>
    <x v="0"/>
    <x v="1"/>
    <x v="799"/>
    <n v="33057230"/>
    <n v="6824"/>
    <x v="269"/>
    <n v="58190"/>
    <n v="474594"/>
    <n v="9777"/>
    <n v="2470"/>
    <n v="381"/>
    <n v="55208"/>
    <n v="64133"/>
    <n v="5681"/>
    <n v="782608"/>
    <n v="22.19"/>
    <n v="20611470"/>
    <n v="2259071"/>
    <n v="2839593"/>
    <n v="5.16"/>
    <n v="9.1300000000000008"/>
    <n v="3787"/>
    <n v="4.08"/>
    <n v="58.52"/>
  </r>
  <r>
    <x v="0"/>
    <x v="0"/>
    <x v="4"/>
    <x v="800"/>
    <n v="44654589"/>
    <n v="15210"/>
    <x v="5"/>
    <n v="48761"/>
    <n v="155591"/>
    <n v="11249"/>
    <n v="37307"/>
    <n v="1741"/>
    <n v="457641"/>
    <n v="231759"/>
    <n v="3678"/>
    <n v="1591143"/>
    <n v="13.01"/>
    <n v="40133759"/>
    <n v="20376869"/>
    <n v="29667860"/>
    <n v="95.87"/>
    <n v="5.59"/>
    <n v="2829"/>
    <n v="2.85"/>
    <n v="75.12"/>
  </r>
  <r>
    <x v="6"/>
    <x v="0"/>
    <x v="1"/>
    <x v="801"/>
    <n v="36400136"/>
    <n v="1280"/>
    <x v="78"/>
    <n v="32169"/>
    <n v="411609"/>
    <n v="21390"/>
    <n v="34753"/>
    <n v="1640"/>
    <n v="595613"/>
    <n v="348722"/>
    <n v="336"/>
    <n v="1159977"/>
    <n v="7.19"/>
    <n v="42581328"/>
    <n v="21506488"/>
    <n v="5049144"/>
    <n v="27.72"/>
    <n v="8.65"/>
    <n v="388"/>
    <n v="2.78"/>
    <n v="20.27"/>
  </r>
  <r>
    <x v="3"/>
    <x v="0"/>
    <x v="0"/>
    <x v="802"/>
    <n v="47024065"/>
    <n v="9126"/>
    <x v="286"/>
    <n v="46641"/>
    <n v="952822"/>
    <n v="20369"/>
    <n v="3226"/>
    <n v="1341"/>
    <n v="576362"/>
    <n v="120135"/>
    <n v="1667"/>
    <n v="1276377"/>
    <n v="18.64"/>
    <n v="44633011"/>
    <n v="20560740"/>
    <n v="10782007"/>
    <n v="87.34"/>
    <n v="1.05"/>
    <n v="2026"/>
    <n v="4.79"/>
    <n v="66.75"/>
  </r>
  <r>
    <x v="2"/>
    <x v="3"/>
    <x v="0"/>
    <x v="803"/>
    <n v="42866372"/>
    <n v="3855"/>
    <x v="250"/>
    <n v="23990"/>
    <n v="206603"/>
    <n v="12881"/>
    <n v="14277"/>
    <n v="1826"/>
    <n v="348192"/>
    <n v="220959"/>
    <n v="909"/>
    <n v="772668"/>
    <n v="5.35"/>
    <n v="26777785"/>
    <n v="16872835"/>
    <n v="26285349"/>
    <n v="38.880000000000003"/>
    <n v="5.5"/>
    <n v="3486"/>
    <n v="3.76"/>
    <n v="64.97"/>
  </r>
  <r>
    <x v="1"/>
    <x v="4"/>
    <x v="3"/>
    <x v="804"/>
    <n v="8777983"/>
    <n v="14765"/>
    <x v="184"/>
    <n v="30661"/>
    <n v="881624"/>
    <n v="9587"/>
    <n v="9591"/>
    <n v="1273"/>
    <n v="412528"/>
    <n v="186268"/>
    <n v="8467"/>
    <n v="1553151"/>
    <n v="22.71"/>
    <n v="26127619"/>
    <n v="37803773"/>
    <n v="22245973"/>
    <n v="11.91"/>
    <n v="5.62"/>
    <n v="844"/>
    <n v="4.2699999999999996"/>
    <n v="90.12"/>
  </r>
  <r>
    <x v="5"/>
    <x v="2"/>
    <x v="2"/>
    <x v="805"/>
    <n v="17569791"/>
    <n v="5800"/>
    <x v="145"/>
    <n v="14419"/>
    <n v="180006"/>
    <n v="28264"/>
    <n v="4525"/>
    <n v="1548"/>
    <n v="232909"/>
    <n v="221766"/>
    <n v="9083"/>
    <n v="1928412"/>
    <n v="1.43"/>
    <n v="10971075"/>
    <n v="15304321"/>
    <n v="1061999"/>
    <n v="8.0399999999999991"/>
    <n v="8.68"/>
    <n v="1772"/>
    <n v="1.83"/>
    <n v="83.08"/>
  </r>
  <r>
    <x v="6"/>
    <x v="1"/>
    <x v="1"/>
    <x v="806"/>
    <n v="32784704"/>
    <n v="15677"/>
    <x v="193"/>
    <n v="15457"/>
    <n v="373949"/>
    <n v="8791"/>
    <n v="22086"/>
    <n v="1698"/>
    <n v="711169"/>
    <n v="231953"/>
    <n v="8204"/>
    <n v="170259"/>
    <n v="28.77"/>
    <n v="677510"/>
    <n v="13742603"/>
    <n v="27563182"/>
    <n v="15.65"/>
    <n v="1.43"/>
    <n v="3269"/>
    <n v="2.82"/>
    <n v="93.85"/>
  </r>
  <r>
    <x v="0"/>
    <x v="3"/>
    <x v="3"/>
    <x v="807"/>
    <n v="20478294"/>
    <n v="13282"/>
    <x v="184"/>
    <n v="68600"/>
    <n v="999607"/>
    <n v="41473"/>
    <n v="44826"/>
    <n v="1578"/>
    <n v="589018"/>
    <n v="265337"/>
    <n v="5122"/>
    <n v="248145"/>
    <n v="2.16"/>
    <n v="40785453"/>
    <n v="10544674"/>
    <n v="19572533"/>
    <n v="24.99"/>
    <n v="2.78"/>
    <n v="948"/>
    <n v="3.12"/>
    <n v="86.88"/>
  </r>
  <r>
    <x v="1"/>
    <x v="2"/>
    <x v="2"/>
    <x v="808"/>
    <n v="10531033"/>
    <n v="3185"/>
    <x v="8"/>
    <n v="34085"/>
    <n v="160912"/>
    <n v="22375"/>
    <n v="9786"/>
    <n v="897"/>
    <n v="254951"/>
    <n v="287162"/>
    <n v="8153"/>
    <n v="311625"/>
    <n v="17.38"/>
    <n v="25397768"/>
    <n v="35071303"/>
    <n v="4191533"/>
    <n v="48.85"/>
    <n v="4.3600000000000003"/>
    <n v="152"/>
    <n v="1.68"/>
    <n v="86.87"/>
  </r>
  <r>
    <x v="6"/>
    <x v="3"/>
    <x v="1"/>
    <x v="809"/>
    <n v="19884838"/>
    <n v="7003"/>
    <x v="276"/>
    <n v="51654"/>
    <n v="905521"/>
    <n v="22611"/>
    <n v="21957"/>
    <n v="1975"/>
    <n v="827513"/>
    <n v="466059"/>
    <n v="973"/>
    <n v="684835"/>
    <n v="27.07"/>
    <n v="7396822"/>
    <n v="17330029"/>
    <n v="3934147"/>
    <n v="70.150000000000006"/>
    <n v="8.73"/>
    <n v="2909"/>
    <n v="2.89"/>
    <n v="6.37"/>
  </r>
  <r>
    <x v="6"/>
    <x v="3"/>
    <x v="4"/>
    <x v="810"/>
    <n v="19164179"/>
    <n v="1596"/>
    <x v="151"/>
    <n v="7130"/>
    <n v="614655"/>
    <n v="42026"/>
    <n v="2973"/>
    <n v="1646"/>
    <n v="247674"/>
    <n v="193808"/>
    <n v="4270"/>
    <n v="1094128"/>
    <n v="0.36"/>
    <n v="22872224"/>
    <n v="13121698"/>
    <n v="8451587"/>
    <n v="98.64"/>
    <n v="9.42"/>
    <n v="4238"/>
    <n v="1.26"/>
    <n v="84.6"/>
  </r>
  <r>
    <x v="6"/>
    <x v="1"/>
    <x v="1"/>
    <x v="811"/>
    <n v="5804120"/>
    <n v="15507"/>
    <x v="292"/>
    <n v="3042"/>
    <n v="14265"/>
    <n v="7833"/>
    <n v="6796"/>
    <n v="716"/>
    <n v="440344"/>
    <n v="189978"/>
    <n v="1408"/>
    <n v="200041"/>
    <n v="14.96"/>
    <n v="40647968"/>
    <n v="12280206"/>
    <n v="22844125"/>
    <n v="44.15"/>
    <n v="9.93"/>
    <n v="1497"/>
    <n v="0.8"/>
    <n v="60.75"/>
  </r>
  <r>
    <x v="5"/>
    <x v="4"/>
    <x v="0"/>
    <x v="812"/>
    <n v="35502379"/>
    <n v="17528"/>
    <x v="50"/>
    <n v="43982"/>
    <n v="399640"/>
    <n v="47013"/>
    <n v="13876"/>
    <n v="1919"/>
    <n v="220200"/>
    <n v="140566"/>
    <n v="2288"/>
    <n v="1257182"/>
    <n v="10.5"/>
    <n v="24179027"/>
    <n v="29329990"/>
    <n v="23152577"/>
    <n v="51.82"/>
    <n v="9.61"/>
    <n v="4264"/>
    <n v="1.93"/>
    <n v="38.04"/>
  </r>
  <r>
    <x v="2"/>
    <x v="0"/>
    <x v="0"/>
    <x v="813"/>
    <n v="6313775"/>
    <n v="2461"/>
    <x v="125"/>
    <n v="66185"/>
    <n v="414841"/>
    <n v="15754"/>
    <n v="38978"/>
    <n v="1279"/>
    <n v="287749"/>
    <n v="124601"/>
    <n v="8738"/>
    <n v="1804541"/>
    <n v="17.41"/>
    <n v="4300675"/>
    <n v="31333868"/>
    <n v="14314716"/>
    <n v="52.18"/>
    <n v="0.56000000000000005"/>
    <n v="2082"/>
    <n v="3.72"/>
    <n v="5.65"/>
  </r>
  <r>
    <x v="5"/>
    <x v="4"/>
    <x v="4"/>
    <x v="814"/>
    <n v="24519663"/>
    <n v="19051"/>
    <x v="144"/>
    <n v="34477"/>
    <n v="604910"/>
    <n v="42048"/>
    <n v="32315"/>
    <n v="306"/>
    <n v="866762"/>
    <n v="260328"/>
    <n v="1218"/>
    <n v="787157"/>
    <n v="6.76"/>
    <n v="19173184"/>
    <n v="10512005"/>
    <n v="9514154"/>
    <n v="53.94"/>
    <n v="0.95"/>
    <n v="4082"/>
    <n v="4.59"/>
    <n v="67.77"/>
  </r>
  <r>
    <x v="4"/>
    <x v="1"/>
    <x v="3"/>
    <x v="815"/>
    <n v="13065034"/>
    <n v="14163"/>
    <x v="36"/>
    <n v="53709"/>
    <n v="685547"/>
    <n v="12577"/>
    <n v="17370"/>
    <n v="1973"/>
    <n v="515039"/>
    <n v="92610"/>
    <n v="1420"/>
    <n v="1449650"/>
    <n v="1.95"/>
    <n v="16706665"/>
    <n v="24248558"/>
    <n v="18938173"/>
    <n v="51.77"/>
    <n v="1.9"/>
    <n v="3110"/>
    <n v="2.34"/>
    <n v="32.82"/>
  </r>
  <r>
    <x v="1"/>
    <x v="1"/>
    <x v="2"/>
    <x v="816"/>
    <n v="29522580"/>
    <n v="4195"/>
    <x v="167"/>
    <n v="29716"/>
    <n v="299073"/>
    <n v="31095"/>
    <n v="40123"/>
    <n v="1167"/>
    <n v="331801"/>
    <n v="93808"/>
    <n v="9646"/>
    <n v="730846"/>
    <n v="18.78"/>
    <n v="31491873"/>
    <n v="9948949"/>
    <n v="21091299"/>
    <n v="0.88"/>
    <n v="3.81"/>
    <n v="1584"/>
    <n v="3.25"/>
    <n v="46.78"/>
  </r>
  <r>
    <x v="2"/>
    <x v="1"/>
    <x v="1"/>
    <x v="817"/>
    <n v="25555715"/>
    <n v="2825"/>
    <x v="138"/>
    <n v="37018"/>
    <n v="325036"/>
    <n v="21248"/>
    <n v="32823"/>
    <n v="1681"/>
    <n v="426158"/>
    <n v="97919"/>
    <n v="3377"/>
    <n v="75474"/>
    <n v="12.51"/>
    <n v="25572826"/>
    <n v="36250746"/>
    <n v="1521876"/>
    <n v="0.17"/>
    <n v="8.3800000000000008"/>
    <n v="2897"/>
    <n v="0.6"/>
    <n v="68.17"/>
  </r>
  <r>
    <x v="2"/>
    <x v="2"/>
    <x v="0"/>
    <x v="818"/>
    <n v="6972652"/>
    <n v="13243"/>
    <x v="144"/>
    <n v="9061"/>
    <n v="676899"/>
    <n v="35282"/>
    <n v="1203"/>
    <n v="390"/>
    <n v="349879"/>
    <n v="235703"/>
    <n v="7501"/>
    <n v="288312"/>
    <n v="18.670000000000002"/>
    <n v="12021588"/>
    <n v="4498965"/>
    <n v="4604156"/>
    <n v="9.77"/>
    <n v="8.98"/>
    <n v="3259"/>
    <n v="4.53"/>
    <n v="91.18"/>
  </r>
  <r>
    <x v="2"/>
    <x v="4"/>
    <x v="3"/>
    <x v="819"/>
    <n v="23883686"/>
    <n v="12901"/>
    <x v="62"/>
    <n v="9609"/>
    <n v="319774"/>
    <n v="36737"/>
    <n v="4522"/>
    <n v="1836"/>
    <n v="771302"/>
    <n v="406596"/>
    <n v="4098"/>
    <n v="1605963"/>
    <n v="6.32"/>
    <n v="27010647"/>
    <n v="6942362"/>
    <n v="29941883"/>
    <n v="10.16"/>
    <n v="2.27"/>
    <n v="4620"/>
    <n v="2.89"/>
    <n v="82.54"/>
  </r>
  <r>
    <x v="0"/>
    <x v="4"/>
    <x v="4"/>
    <x v="820"/>
    <n v="18775555"/>
    <n v="13120"/>
    <x v="187"/>
    <n v="36371"/>
    <n v="222711"/>
    <n v="31891"/>
    <n v="22676"/>
    <n v="1699"/>
    <n v="264991"/>
    <n v="36403"/>
    <n v="2738"/>
    <n v="203252"/>
    <n v="10.16"/>
    <n v="37639630"/>
    <n v="22883707"/>
    <n v="27754111"/>
    <n v="70.489999999999995"/>
    <n v="6.39"/>
    <n v="3513"/>
    <n v="3.92"/>
    <n v="45.06"/>
  </r>
  <r>
    <x v="2"/>
    <x v="3"/>
    <x v="0"/>
    <x v="821"/>
    <n v="14719886"/>
    <n v="19589"/>
    <x v="61"/>
    <n v="21805"/>
    <n v="487626"/>
    <n v="24124"/>
    <n v="16640"/>
    <n v="1192"/>
    <n v="750882"/>
    <n v="27553"/>
    <n v="7619"/>
    <n v="1814318"/>
    <n v="16.850000000000001"/>
    <n v="28194274"/>
    <n v="38055893"/>
    <n v="22652116"/>
    <n v="20.49"/>
    <n v="9.2100000000000009"/>
    <n v="484"/>
    <n v="3.99"/>
    <n v="38.78"/>
  </r>
  <r>
    <x v="5"/>
    <x v="3"/>
    <x v="4"/>
    <x v="822"/>
    <n v="16413266"/>
    <n v="4020"/>
    <x v="67"/>
    <n v="8857"/>
    <n v="927719"/>
    <n v="4566"/>
    <n v="8993"/>
    <n v="989"/>
    <n v="834582"/>
    <n v="371130"/>
    <n v="1842"/>
    <n v="1373175"/>
    <n v="17.79"/>
    <n v="7832728"/>
    <n v="12622825"/>
    <n v="29508207"/>
    <n v="89.47"/>
    <n v="4.91"/>
    <n v="1307"/>
    <n v="1.36"/>
    <n v="23.98"/>
  </r>
  <r>
    <x v="2"/>
    <x v="3"/>
    <x v="1"/>
    <x v="823"/>
    <n v="34730728"/>
    <n v="14169"/>
    <x v="273"/>
    <n v="12620"/>
    <n v="171457"/>
    <n v="2196"/>
    <n v="646"/>
    <n v="297"/>
    <n v="148682"/>
    <n v="322939"/>
    <n v="8938"/>
    <n v="579528"/>
    <n v="11.17"/>
    <n v="37966608"/>
    <n v="6373624"/>
    <n v="25529428"/>
    <n v="92.86"/>
    <n v="1.48"/>
    <n v="104"/>
    <n v="2.69"/>
    <n v="37.24"/>
  </r>
  <r>
    <x v="3"/>
    <x v="1"/>
    <x v="2"/>
    <x v="824"/>
    <n v="879039"/>
    <n v="4381"/>
    <x v="110"/>
    <n v="9177"/>
    <n v="656313"/>
    <n v="31115"/>
    <n v="3785"/>
    <n v="232"/>
    <n v="193742"/>
    <n v="199621"/>
    <n v="2816"/>
    <n v="337940"/>
    <n v="8.4"/>
    <n v="27610260"/>
    <n v="34957832"/>
    <n v="15169027"/>
    <n v="97.59"/>
    <n v="4.8499999999999996"/>
    <n v="980"/>
    <n v="4.8099999999999996"/>
    <n v="11.1"/>
  </r>
  <r>
    <x v="1"/>
    <x v="4"/>
    <x v="0"/>
    <x v="825"/>
    <n v="34583146"/>
    <n v="10345"/>
    <x v="125"/>
    <n v="31111"/>
    <n v="612868"/>
    <n v="49941"/>
    <n v="2431"/>
    <n v="1926"/>
    <n v="707661"/>
    <n v="156937"/>
    <n v="9063"/>
    <n v="1890600"/>
    <n v="8.2100000000000009"/>
    <n v="31792780"/>
    <n v="14626849"/>
    <n v="4926528"/>
    <n v="93.91"/>
    <n v="4.07"/>
    <n v="2849"/>
    <n v="0.54"/>
    <n v="97.11"/>
  </r>
  <r>
    <x v="2"/>
    <x v="1"/>
    <x v="0"/>
    <x v="826"/>
    <n v="7535655"/>
    <n v="1992"/>
    <x v="293"/>
    <n v="12826"/>
    <n v="340606"/>
    <n v="19859"/>
    <n v="13035"/>
    <n v="270"/>
    <n v="456487"/>
    <n v="395656"/>
    <n v="494"/>
    <n v="1834610"/>
    <n v="5.24"/>
    <n v="19447938"/>
    <n v="38768867"/>
    <n v="396605"/>
    <n v="27.19"/>
    <n v="5.99"/>
    <n v="361"/>
    <n v="3.45"/>
    <n v="57.39"/>
  </r>
  <r>
    <x v="1"/>
    <x v="2"/>
    <x v="1"/>
    <x v="827"/>
    <n v="8868352"/>
    <n v="16625"/>
    <x v="9"/>
    <n v="14890"/>
    <n v="638684"/>
    <n v="11345"/>
    <n v="9290"/>
    <n v="1083"/>
    <n v="125426"/>
    <n v="222887"/>
    <n v="6560"/>
    <n v="1433901"/>
    <n v="9.76"/>
    <n v="21879299"/>
    <n v="24474184"/>
    <n v="22138201"/>
    <n v="50.98"/>
    <n v="4.67"/>
    <n v="1006"/>
    <n v="4.82"/>
    <n v="12.78"/>
  </r>
  <r>
    <x v="3"/>
    <x v="3"/>
    <x v="3"/>
    <x v="828"/>
    <n v="42995479"/>
    <n v="13454"/>
    <x v="144"/>
    <n v="59031"/>
    <n v="360181"/>
    <n v="34077"/>
    <n v="36961"/>
    <n v="1319"/>
    <n v="81647"/>
    <n v="486725"/>
    <n v="5510"/>
    <n v="253051"/>
    <n v="5.98"/>
    <n v="18548187"/>
    <n v="2817422"/>
    <n v="7464567"/>
    <n v="17.55"/>
    <n v="0.66"/>
    <n v="4133"/>
    <n v="1.57"/>
    <n v="35.28"/>
  </r>
  <r>
    <x v="3"/>
    <x v="1"/>
    <x v="2"/>
    <x v="829"/>
    <n v="21419751"/>
    <n v="911"/>
    <x v="244"/>
    <n v="6495"/>
    <n v="96310"/>
    <n v="864"/>
    <n v="11361"/>
    <n v="1490"/>
    <n v="310779"/>
    <n v="38157"/>
    <n v="3444"/>
    <n v="1151187"/>
    <n v="19.010000000000002"/>
    <n v="23092486"/>
    <n v="33604307"/>
    <n v="16000242"/>
    <n v="80.62"/>
    <n v="9.94"/>
    <n v="4902"/>
    <n v="4.32"/>
    <n v="54.7"/>
  </r>
  <r>
    <x v="1"/>
    <x v="1"/>
    <x v="0"/>
    <x v="830"/>
    <n v="17550668"/>
    <n v="9325"/>
    <x v="137"/>
    <n v="29481"/>
    <n v="157080"/>
    <n v="12055"/>
    <n v="49874"/>
    <n v="1258"/>
    <n v="543987"/>
    <n v="393913"/>
    <n v="9267"/>
    <n v="1631910"/>
    <n v="17.07"/>
    <n v="18816458"/>
    <n v="12394715"/>
    <n v="10029953"/>
    <n v="88.84"/>
    <n v="5.66"/>
    <n v="2562"/>
    <n v="4.67"/>
    <n v="53.29"/>
  </r>
  <r>
    <x v="6"/>
    <x v="2"/>
    <x v="2"/>
    <x v="831"/>
    <n v="32198133"/>
    <n v="17083"/>
    <x v="55"/>
    <n v="12267"/>
    <n v="312072"/>
    <n v="38157"/>
    <n v="38101"/>
    <n v="676"/>
    <n v="888515"/>
    <n v="189160"/>
    <n v="7543"/>
    <n v="1824332"/>
    <n v="11.48"/>
    <n v="10934807"/>
    <n v="16604920"/>
    <n v="4793480"/>
    <n v="85.13"/>
    <n v="5"/>
    <n v="1313"/>
    <n v="3.76"/>
    <n v="3.55"/>
  </r>
  <r>
    <x v="4"/>
    <x v="0"/>
    <x v="0"/>
    <x v="832"/>
    <n v="26444707"/>
    <n v="4184"/>
    <x v="228"/>
    <n v="7743"/>
    <n v="739456"/>
    <n v="19747"/>
    <n v="45666"/>
    <n v="705"/>
    <n v="183708"/>
    <n v="94755"/>
    <n v="7562"/>
    <n v="17488"/>
    <n v="9.77"/>
    <n v="29261802"/>
    <n v="38176842"/>
    <n v="13183222"/>
    <n v="43.34"/>
    <n v="9.57"/>
    <n v="2797"/>
    <n v="1.23"/>
    <n v="95.08"/>
  </r>
  <r>
    <x v="0"/>
    <x v="4"/>
    <x v="2"/>
    <x v="833"/>
    <n v="38425479"/>
    <n v="11853"/>
    <x v="110"/>
    <n v="55800"/>
    <n v="90876"/>
    <n v="44484"/>
    <n v="30181"/>
    <n v="233"/>
    <n v="879222"/>
    <n v="277269"/>
    <n v="3994"/>
    <n v="1239489"/>
    <n v="7.13"/>
    <n v="26296073"/>
    <n v="8844905"/>
    <n v="20514860"/>
    <n v="75.87"/>
    <n v="1.98"/>
    <n v="2832"/>
    <n v="1.74"/>
    <n v="27.54"/>
  </r>
  <r>
    <x v="6"/>
    <x v="0"/>
    <x v="4"/>
    <x v="834"/>
    <n v="14221794"/>
    <n v="15458"/>
    <x v="289"/>
    <n v="49773"/>
    <n v="550264"/>
    <n v="11978"/>
    <n v="3654"/>
    <n v="1391"/>
    <n v="430291"/>
    <n v="269389"/>
    <n v="7253"/>
    <n v="381665"/>
    <n v="16.059999999999999"/>
    <n v="47762148"/>
    <n v="19427463"/>
    <n v="23775889"/>
    <n v="9.76"/>
    <n v="2.2999999999999998"/>
    <n v="1143"/>
    <n v="0.28000000000000003"/>
    <n v="1.62"/>
  </r>
  <r>
    <x v="6"/>
    <x v="3"/>
    <x v="0"/>
    <x v="835"/>
    <n v="30609596"/>
    <n v="17470"/>
    <x v="86"/>
    <n v="58042"/>
    <n v="770302"/>
    <n v="24599"/>
    <n v="16152"/>
    <n v="1718"/>
    <n v="221368"/>
    <n v="101306"/>
    <n v="45"/>
    <n v="1967475"/>
    <n v="27.57"/>
    <n v="39932684"/>
    <n v="12367945"/>
    <n v="16710511"/>
    <n v="4.0199999999999996"/>
    <n v="8.18"/>
    <n v="2836"/>
    <n v="4.17"/>
    <n v="7.64"/>
  </r>
  <r>
    <x v="5"/>
    <x v="1"/>
    <x v="2"/>
    <x v="836"/>
    <n v="41239304"/>
    <n v="16401"/>
    <x v="14"/>
    <n v="50476"/>
    <n v="388128"/>
    <n v="35771"/>
    <n v="7783"/>
    <n v="844"/>
    <n v="121287"/>
    <n v="186969"/>
    <n v="2057"/>
    <n v="709029"/>
    <n v="20.57"/>
    <n v="9473660"/>
    <n v="1117201"/>
    <n v="15896239"/>
    <n v="75.319999999999993"/>
    <n v="2.98"/>
    <n v="2865"/>
    <n v="4.26"/>
    <n v="58.02"/>
  </r>
  <r>
    <x v="0"/>
    <x v="2"/>
    <x v="3"/>
    <x v="837"/>
    <n v="41481729"/>
    <n v="4181"/>
    <x v="294"/>
    <n v="29552"/>
    <n v="683986"/>
    <n v="46942"/>
    <n v="28476"/>
    <n v="1255"/>
    <n v="114927"/>
    <n v="303967"/>
    <n v="663"/>
    <n v="667205"/>
    <n v="22.33"/>
    <n v="48129707"/>
    <n v="8707069"/>
    <n v="7934968"/>
    <n v="42.54"/>
    <n v="8.09"/>
    <n v="3813"/>
    <n v="3.2"/>
    <n v="13.78"/>
  </r>
  <r>
    <x v="0"/>
    <x v="2"/>
    <x v="4"/>
    <x v="838"/>
    <n v="20475372"/>
    <n v="18582"/>
    <x v="184"/>
    <n v="66242"/>
    <n v="361400"/>
    <n v="46540"/>
    <n v="10788"/>
    <n v="1896"/>
    <n v="148563"/>
    <n v="73330"/>
    <n v="4668"/>
    <n v="1740995"/>
    <n v="25.03"/>
    <n v="48891625"/>
    <n v="36084778"/>
    <n v="13275944"/>
    <n v="99.55"/>
    <n v="3.08"/>
    <n v="4085"/>
    <n v="1.83"/>
    <n v="4.17"/>
  </r>
  <r>
    <x v="6"/>
    <x v="4"/>
    <x v="4"/>
    <x v="839"/>
    <n v="22231798"/>
    <n v="12107"/>
    <x v="55"/>
    <n v="46772"/>
    <n v="363681"/>
    <n v="17615"/>
    <n v="12511"/>
    <n v="490"/>
    <n v="678413"/>
    <n v="398146"/>
    <n v="2029"/>
    <n v="1067970"/>
    <n v="10.55"/>
    <n v="18003858"/>
    <n v="39075889"/>
    <n v="8106954"/>
    <n v="9.73"/>
    <n v="0.82"/>
    <n v="4889"/>
    <n v="0.48"/>
    <n v="37.96"/>
  </r>
  <r>
    <x v="2"/>
    <x v="0"/>
    <x v="3"/>
    <x v="840"/>
    <n v="47613433"/>
    <n v="11399"/>
    <x v="138"/>
    <n v="44730"/>
    <n v="191861"/>
    <n v="40727"/>
    <n v="47187"/>
    <n v="1642"/>
    <n v="221282"/>
    <n v="155102"/>
    <n v="5717"/>
    <n v="881425"/>
    <n v="1.89"/>
    <n v="27194802"/>
    <n v="32539138"/>
    <n v="4719704"/>
    <n v="85.56"/>
    <n v="5.41"/>
    <n v="2373"/>
    <n v="3.79"/>
    <n v="62.28"/>
  </r>
  <r>
    <x v="5"/>
    <x v="4"/>
    <x v="2"/>
    <x v="841"/>
    <n v="18039587"/>
    <n v="11536"/>
    <x v="237"/>
    <n v="29948"/>
    <n v="923204"/>
    <n v="44748"/>
    <n v="2118"/>
    <n v="502"/>
    <n v="612281"/>
    <n v="417068"/>
    <n v="2696"/>
    <n v="1226554"/>
    <n v="18.68"/>
    <n v="47987986"/>
    <n v="1649383"/>
    <n v="25070297"/>
    <n v="48"/>
    <n v="2.37"/>
    <n v="282"/>
    <n v="3.66"/>
    <n v="11.18"/>
  </r>
  <r>
    <x v="5"/>
    <x v="1"/>
    <x v="1"/>
    <x v="842"/>
    <n v="20535161"/>
    <n v="5507"/>
    <x v="283"/>
    <n v="17535"/>
    <n v="634619"/>
    <n v="39349"/>
    <n v="29379"/>
    <n v="889"/>
    <n v="489133"/>
    <n v="108238"/>
    <n v="8831"/>
    <n v="1108908"/>
    <n v="5.66"/>
    <n v="39201493"/>
    <n v="13347546"/>
    <n v="8879100"/>
    <n v="82.72"/>
    <n v="7.7"/>
    <n v="2151"/>
    <n v="4.57"/>
    <n v="31.33"/>
  </r>
  <r>
    <x v="3"/>
    <x v="4"/>
    <x v="3"/>
    <x v="843"/>
    <n v="25556359"/>
    <n v="6129"/>
    <x v="88"/>
    <n v="67490"/>
    <n v="720005"/>
    <n v="29377"/>
    <n v="36392"/>
    <n v="1758"/>
    <n v="799703"/>
    <n v="207197"/>
    <n v="2663"/>
    <n v="1217953"/>
    <n v="17.07"/>
    <n v="37645230"/>
    <n v="16558650"/>
    <n v="16210873"/>
    <n v="81.709999999999994"/>
    <n v="6.59"/>
    <n v="4402"/>
    <n v="3.68"/>
    <n v="41.78"/>
  </r>
  <r>
    <x v="0"/>
    <x v="2"/>
    <x v="2"/>
    <x v="844"/>
    <n v="22938280"/>
    <n v="12503"/>
    <x v="75"/>
    <n v="47562"/>
    <n v="252666"/>
    <n v="30031"/>
    <n v="25828"/>
    <n v="591"/>
    <n v="126107"/>
    <n v="491544"/>
    <n v="2745"/>
    <n v="1092204"/>
    <n v="22.19"/>
    <n v="34393060"/>
    <n v="2227995"/>
    <n v="12369123"/>
    <n v="91.6"/>
    <n v="9.27"/>
    <n v="2078"/>
    <n v="4.16"/>
    <n v="15.95"/>
  </r>
  <r>
    <x v="6"/>
    <x v="2"/>
    <x v="3"/>
    <x v="845"/>
    <n v="21046166"/>
    <n v="18864"/>
    <x v="262"/>
    <n v="59535"/>
    <n v="991900"/>
    <n v="49573"/>
    <n v="10261"/>
    <n v="745"/>
    <n v="771622"/>
    <n v="212476"/>
    <n v="5004"/>
    <n v="808784"/>
    <n v="23.51"/>
    <n v="34963831"/>
    <n v="632621"/>
    <n v="4269865"/>
    <n v="29.79"/>
    <n v="7.94"/>
    <n v="1979"/>
    <n v="3.76"/>
    <n v="50.61"/>
  </r>
  <r>
    <x v="3"/>
    <x v="3"/>
    <x v="3"/>
    <x v="846"/>
    <n v="17420196"/>
    <n v="18313"/>
    <x v="256"/>
    <n v="42269"/>
    <n v="270670"/>
    <n v="42733"/>
    <n v="23351"/>
    <n v="1404"/>
    <n v="80376"/>
    <n v="62140"/>
    <n v="6321"/>
    <n v="1529474"/>
    <n v="9.06"/>
    <n v="47365277"/>
    <n v="2036287"/>
    <n v="15893794"/>
    <n v="94.98"/>
    <n v="2.2200000000000002"/>
    <n v="1508"/>
    <n v="3.19"/>
    <n v="8.52"/>
  </r>
  <r>
    <x v="1"/>
    <x v="3"/>
    <x v="0"/>
    <x v="847"/>
    <n v="30362495"/>
    <n v="12208"/>
    <x v="86"/>
    <n v="43462"/>
    <n v="629151"/>
    <n v="11760"/>
    <n v="11688"/>
    <n v="1719"/>
    <n v="492608"/>
    <n v="108768"/>
    <n v="5125"/>
    <n v="870403"/>
    <n v="15.37"/>
    <n v="36568877"/>
    <n v="8543813"/>
    <n v="4836773"/>
    <n v="15.17"/>
    <n v="8.1"/>
    <n v="1698"/>
    <n v="2.19"/>
    <n v="4.6500000000000004"/>
  </r>
  <r>
    <x v="4"/>
    <x v="1"/>
    <x v="2"/>
    <x v="848"/>
    <n v="44877043"/>
    <n v="15785"/>
    <x v="9"/>
    <n v="4127"/>
    <n v="958004"/>
    <n v="47690"/>
    <n v="14377"/>
    <n v="427"/>
    <n v="167571"/>
    <n v="198868"/>
    <n v="4948"/>
    <n v="1101569"/>
    <n v="18.63"/>
    <n v="20109515"/>
    <n v="17300782"/>
    <n v="4779074"/>
    <n v="8.1999999999999993"/>
    <n v="6.6"/>
    <n v="457"/>
    <n v="4.5199999999999996"/>
    <n v="51.98"/>
  </r>
  <r>
    <x v="5"/>
    <x v="0"/>
    <x v="1"/>
    <x v="849"/>
    <n v="17534570"/>
    <n v="15880"/>
    <x v="189"/>
    <n v="24147"/>
    <n v="200121"/>
    <n v="33714"/>
    <n v="29682"/>
    <n v="696"/>
    <n v="727747"/>
    <n v="457964"/>
    <n v="4402"/>
    <n v="1220034"/>
    <n v="24.58"/>
    <n v="41050772"/>
    <n v="24225993"/>
    <n v="14234874"/>
    <n v="43.16"/>
    <n v="6.86"/>
    <n v="3390"/>
    <n v="3.29"/>
    <n v="24.79"/>
  </r>
  <r>
    <x v="1"/>
    <x v="4"/>
    <x v="0"/>
    <x v="850"/>
    <n v="41917870"/>
    <n v="15175"/>
    <x v="271"/>
    <n v="46528"/>
    <n v="336510"/>
    <n v="25762"/>
    <n v="4342"/>
    <n v="645"/>
    <n v="846580"/>
    <n v="317274"/>
    <n v="3427"/>
    <n v="890459"/>
    <n v="22.84"/>
    <n v="13375562"/>
    <n v="15270302"/>
    <n v="29764648"/>
    <n v="82.83"/>
    <n v="8.41"/>
    <n v="2027"/>
    <n v="2.0499999999999998"/>
    <n v="9.5399999999999991"/>
  </r>
  <r>
    <x v="1"/>
    <x v="1"/>
    <x v="3"/>
    <x v="851"/>
    <n v="49046069"/>
    <n v="11955"/>
    <x v="16"/>
    <n v="69931"/>
    <n v="998821"/>
    <n v="34332"/>
    <n v="12012"/>
    <n v="731"/>
    <n v="456384"/>
    <n v="56915"/>
    <n v="5912"/>
    <n v="975128"/>
    <n v="29.64"/>
    <n v="124283"/>
    <n v="14271568"/>
    <n v="13492322"/>
    <n v="47.34"/>
    <n v="5.95"/>
    <n v="2463"/>
    <n v="0.51"/>
    <n v="42.39"/>
  </r>
  <r>
    <x v="2"/>
    <x v="3"/>
    <x v="3"/>
    <x v="852"/>
    <n v="27582984"/>
    <n v="12348"/>
    <x v="67"/>
    <n v="67381"/>
    <n v="453333"/>
    <n v="40100"/>
    <n v="20294"/>
    <n v="799"/>
    <n v="463090"/>
    <n v="216841"/>
    <n v="394"/>
    <n v="451281"/>
    <n v="0.24"/>
    <n v="38191844"/>
    <n v="37611406"/>
    <n v="25222449"/>
    <n v="82.93"/>
    <n v="4.93"/>
    <n v="4987"/>
    <n v="1.52"/>
    <n v="91.51"/>
  </r>
  <r>
    <x v="4"/>
    <x v="4"/>
    <x v="3"/>
    <x v="853"/>
    <n v="8472368"/>
    <n v="2061"/>
    <x v="236"/>
    <n v="64749"/>
    <n v="57096"/>
    <n v="4944"/>
    <n v="15710"/>
    <n v="363"/>
    <n v="461225"/>
    <n v="112889"/>
    <n v="3597"/>
    <n v="907644"/>
    <n v="13.12"/>
    <n v="27493437"/>
    <n v="22559615"/>
    <n v="17767271"/>
    <n v="72.97"/>
    <n v="6.55"/>
    <n v="1810"/>
    <n v="2.76"/>
    <n v="72.42"/>
  </r>
  <r>
    <x v="1"/>
    <x v="3"/>
    <x v="2"/>
    <x v="854"/>
    <n v="28981082"/>
    <n v="3423"/>
    <x v="229"/>
    <n v="39672"/>
    <n v="664270"/>
    <n v="48825"/>
    <n v="13779"/>
    <n v="201"/>
    <n v="244222"/>
    <n v="429006"/>
    <n v="329"/>
    <n v="479720"/>
    <n v="7.68"/>
    <n v="37288505"/>
    <n v="39362763"/>
    <n v="26600903"/>
    <n v="20.94"/>
    <n v="3.33"/>
    <n v="3647"/>
    <n v="1.45"/>
    <n v="81.56"/>
  </r>
  <r>
    <x v="1"/>
    <x v="4"/>
    <x v="2"/>
    <x v="855"/>
    <n v="30037369"/>
    <n v="10385"/>
    <x v="5"/>
    <n v="14731"/>
    <n v="999887"/>
    <n v="13877"/>
    <n v="29328"/>
    <n v="881"/>
    <n v="497064"/>
    <n v="219578"/>
    <n v="772"/>
    <n v="507357"/>
    <n v="3.6"/>
    <n v="22885137"/>
    <n v="15629244"/>
    <n v="12916302"/>
    <n v="94.89"/>
    <n v="2.23"/>
    <n v="1428"/>
    <n v="1.18"/>
    <n v="87.19"/>
  </r>
  <r>
    <x v="4"/>
    <x v="0"/>
    <x v="0"/>
    <x v="856"/>
    <n v="36290315"/>
    <n v="10742"/>
    <x v="135"/>
    <n v="55512"/>
    <n v="858617"/>
    <n v="29990"/>
    <n v="24333"/>
    <n v="145"/>
    <n v="338427"/>
    <n v="483348"/>
    <n v="8135"/>
    <n v="1058115"/>
    <n v="27.35"/>
    <n v="20655211"/>
    <n v="28137000"/>
    <n v="28165318"/>
    <n v="6.08"/>
    <n v="6.36"/>
    <n v="670"/>
    <n v="2.68"/>
    <n v="97.26"/>
  </r>
  <r>
    <x v="4"/>
    <x v="1"/>
    <x v="1"/>
    <x v="857"/>
    <n v="44994022"/>
    <n v="14577"/>
    <x v="280"/>
    <n v="52024"/>
    <n v="51248"/>
    <n v="42907"/>
    <n v="27620"/>
    <n v="835"/>
    <n v="569228"/>
    <n v="320167"/>
    <n v="1645"/>
    <n v="133335"/>
    <n v="29.94"/>
    <n v="23282874"/>
    <n v="2465860"/>
    <n v="14808722"/>
    <n v="89.83"/>
    <n v="2.72"/>
    <n v="979"/>
    <n v="0.93"/>
    <n v="76.319999999999993"/>
  </r>
  <r>
    <x v="1"/>
    <x v="4"/>
    <x v="0"/>
    <x v="858"/>
    <n v="1264265"/>
    <n v="12823"/>
    <x v="79"/>
    <n v="4832"/>
    <n v="206728"/>
    <n v="34076"/>
    <n v="6973"/>
    <n v="638"/>
    <n v="556443"/>
    <n v="167744"/>
    <n v="9924"/>
    <n v="1456097"/>
    <n v="5.42"/>
    <n v="4841700"/>
    <n v="21974507"/>
    <n v="8933863"/>
    <n v="30.44"/>
    <n v="1.26"/>
    <n v="1024"/>
    <n v="4.0199999999999996"/>
    <n v="60.84"/>
  </r>
  <r>
    <x v="4"/>
    <x v="2"/>
    <x v="4"/>
    <x v="859"/>
    <n v="23908056"/>
    <n v="1339"/>
    <x v="258"/>
    <n v="33332"/>
    <n v="920455"/>
    <n v="49538"/>
    <n v="7848"/>
    <n v="1480"/>
    <n v="567827"/>
    <n v="185202"/>
    <n v="1787"/>
    <n v="1889825"/>
    <n v="1.1499999999999999"/>
    <n v="19670846"/>
    <n v="3725551"/>
    <n v="15685008"/>
    <n v="50.01"/>
    <n v="0.51"/>
    <n v="4537"/>
    <n v="2.4700000000000002"/>
    <n v="36.54"/>
  </r>
  <r>
    <x v="1"/>
    <x v="2"/>
    <x v="3"/>
    <x v="860"/>
    <n v="15293752"/>
    <n v="1497"/>
    <x v="266"/>
    <n v="13467"/>
    <n v="983716"/>
    <n v="3258"/>
    <n v="45177"/>
    <n v="134"/>
    <n v="317899"/>
    <n v="330148"/>
    <n v="9815"/>
    <n v="942902"/>
    <n v="8.25"/>
    <n v="44286219"/>
    <n v="1421672"/>
    <n v="16015040"/>
    <n v="42.24"/>
    <n v="6.28"/>
    <n v="4497"/>
    <n v="2.91"/>
    <n v="18.16"/>
  </r>
  <r>
    <x v="1"/>
    <x v="4"/>
    <x v="3"/>
    <x v="861"/>
    <n v="808617"/>
    <n v="19633"/>
    <x v="295"/>
    <n v="42025"/>
    <n v="994205"/>
    <n v="31629"/>
    <n v="12253"/>
    <n v="625"/>
    <n v="72719"/>
    <n v="244633"/>
    <n v="999"/>
    <n v="1289886"/>
    <n v="25.05"/>
    <n v="36555478"/>
    <n v="31634462"/>
    <n v="11199468"/>
    <n v="17.18"/>
    <n v="3.94"/>
    <n v="2903"/>
    <n v="0.82"/>
    <n v="68.67"/>
  </r>
  <r>
    <x v="2"/>
    <x v="4"/>
    <x v="3"/>
    <x v="862"/>
    <n v="11868954"/>
    <n v="19617"/>
    <x v="70"/>
    <n v="14107"/>
    <n v="80888"/>
    <n v="37579"/>
    <n v="27949"/>
    <n v="1287"/>
    <n v="710849"/>
    <n v="237569"/>
    <n v="1848"/>
    <n v="1016120"/>
    <n v="8.82"/>
    <n v="37117"/>
    <n v="18528130"/>
    <n v="12476892"/>
    <n v="35.81"/>
    <n v="7.65"/>
    <n v="1739"/>
    <n v="1.69"/>
    <n v="99.49"/>
  </r>
  <r>
    <x v="6"/>
    <x v="4"/>
    <x v="0"/>
    <x v="863"/>
    <n v="1244748"/>
    <n v="14189"/>
    <x v="224"/>
    <n v="44481"/>
    <n v="207354"/>
    <n v="22958"/>
    <n v="1855"/>
    <n v="63"/>
    <n v="798176"/>
    <n v="233408"/>
    <n v="1561"/>
    <n v="1256449"/>
    <n v="1.71"/>
    <n v="45218748"/>
    <n v="1776305"/>
    <n v="7206009"/>
    <n v="19.29"/>
    <n v="4.0599999999999996"/>
    <n v="4721"/>
    <n v="2.11"/>
    <n v="46.74"/>
  </r>
  <r>
    <x v="1"/>
    <x v="2"/>
    <x v="0"/>
    <x v="864"/>
    <n v="46079602"/>
    <n v="13807"/>
    <x v="91"/>
    <n v="3581"/>
    <n v="241346"/>
    <n v="39465"/>
    <n v="46720"/>
    <n v="490"/>
    <n v="619382"/>
    <n v="160375"/>
    <n v="773"/>
    <n v="1360827"/>
    <n v="1.57"/>
    <n v="24097972"/>
    <n v="10883728"/>
    <n v="5979212"/>
    <n v="20.39"/>
    <n v="5.12"/>
    <n v="4668"/>
    <n v="4.0599999999999996"/>
    <n v="72.37"/>
  </r>
  <r>
    <x v="3"/>
    <x v="2"/>
    <x v="3"/>
    <x v="865"/>
    <n v="27720234"/>
    <n v="5512"/>
    <x v="130"/>
    <n v="52638"/>
    <n v="619821"/>
    <n v="20317"/>
    <n v="16776"/>
    <n v="1670"/>
    <n v="321239"/>
    <n v="77188"/>
    <n v="7311"/>
    <n v="950656"/>
    <n v="12.82"/>
    <n v="20132888"/>
    <n v="30957499"/>
    <n v="20665655"/>
    <n v="18.71"/>
    <n v="4.37"/>
    <n v="775"/>
    <n v="3.87"/>
    <n v="49.51"/>
  </r>
  <r>
    <x v="5"/>
    <x v="4"/>
    <x v="0"/>
    <x v="866"/>
    <n v="47550087"/>
    <n v="19650"/>
    <x v="161"/>
    <n v="9418"/>
    <n v="42954"/>
    <n v="15775"/>
    <n v="36890"/>
    <n v="40"/>
    <n v="695411"/>
    <n v="5708"/>
    <n v="5179"/>
    <n v="487476"/>
    <n v="27.95"/>
    <n v="21159869"/>
    <n v="39445825"/>
    <n v="22887260"/>
    <n v="48.9"/>
    <n v="6.68"/>
    <n v="211"/>
    <n v="1.19"/>
    <n v="43.19"/>
  </r>
  <r>
    <x v="0"/>
    <x v="3"/>
    <x v="2"/>
    <x v="867"/>
    <n v="1234275"/>
    <n v="19570"/>
    <x v="20"/>
    <n v="30113"/>
    <n v="352863"/>
    <n v="11039"/>
    <n v="12790"/>
    <n v="1319"/>
    <n v="719090"/>
    <n v="45767"/>
    <n v="1803"/>
    <n v="949128"/>
    <n v="8.58"/>
    <n v="45829507"/>
    <n v="3056151"/>
    <n v="9127593"/>
    <n v="79.790000000000006"/>
    <n v="3.88"/>
    <n v="708"/>
    <n v="3.12"/>
    <n v="41.03"/>
  </r>
  <r>
    <x v="6"/>
    <x v="3"/>
    <x v="2"/>
    <x v="868"/>
    <n v="33275006"/>
    <n v="19752"/>
    <x v="265"/>
    <n v="64044"/>
    <n v="665164"/>
    <n v="29097"/>
    <n v="48468"/>
    <n v="1026"/>
    <n v="366542"/>
    <n v="55647"/>
    <n v="9290"/>
    <n v="916672"/>
    <n v="12.81"/>
    <n v="37152989"/>
    <n v="15012767"/>
    <n v="6275589"/>
    <n v="56.9"/>
    <n v="9.66"/>
    <n v="2947"/>
    <n v="1.29"/>
    <n v="50.46"/>
  </r>
  <r>
    <x v="6"/>
    <x v="0"/>
    <x v="0"/>
    <x v="869"/>
    <n v="10186427"/>
    <n v="19216"/>
    <x v="170"/>
    <n v="62030"/>
    <n v="749065"/>
    <n v="34207"/>
    <n v="42866"/>
    <n v="912"/>
    <n v="291015"/>
    <n v="415801"/>
    <n v="2050"/>
    <n v="1411375"/>
    <n v="3.06"/>
    <n v="12628364"/>
    <n v="3356641"/>
    <n v="21447876"/>
    <n v="89.32"/>
    <n v="9.39"/>
    <n v="4669"/>
    <n v="4.9400000000000004"/>
    <n v="36.69"/>
  </r>
  <r>
    <x v="6"/>
    <x v="1"/>
    <x v="3"/>
    <x v="870"/>
    <n v="9922794"/>
    <n v="7707"/>
    <x v="147"/>
    <n v="12814"/>
    <n v="263739"/>
    <n v="22553"/>
    <n v="1519"/>
    <n v="1729"/>
    <n v="463074"/>
    <n v="403178"/>
    <n v="9790"/>
    <n v="581420"/>
    <n v="14.81"/>
    <n v="49464233"/>
    <n v="37109522"/>
    <n v="23723105"/>
    <n v="63.65"/>
    <n v="8.56"/>
    <n v="4149"/>
    <n v="4.7699999999999996"/>
    <n v="74.88"/>
  </r>
  <r>
    <x v="2"/>
    <x v="3"/>
    <x v="0"/>
    <x v="871"/>
    <n v="43041546"/>
    <n v="4970"/>
    <x v="205"/>
    <n v="11024"/>
    <n v="292736"/>
    <n v="44402"/>
    <n v="23967"/>
    <n v="974"/>
    <n v="160450"/>
    <n v="390635"/>
    <n v="747"/>
    <n v="1961709"/>
    <n v="20.9"/>
    <n v="17726000"/>
    <n v="38520129"/>
    <n v="20318666"/>
    <n v="68.930000000000007"/>
    <n v="9.24"/>
    <n v="2592"/>
    <n v="2.86"/>
    <n v="87.43"/>
  </r>
  <r>
    <x v="1"/>
    <x v="2"/>
    <x v="0"/>
    <x v="872"/>
    <n v="6694224"/>
    <n v="10395"/>
    <x v="222"/>
    <n v="64288"/>
    <n v="565931"/>
    <n v="55"/>
    <n v="45182"/>
    <n v="1133"/>
    <n v="167729"/>
    <n v="235007"/>
    <n v="8125"/>
    <n v="106494"/>
    <n v="8.1300000000000008"/>
    <n v="47373133"/>
    <n v="32757618"/>
    <n v="6389576"/>
    <n v="66.760000000000005"/>
    <n v="4.7699999999999996"/>
    <n v="1628"/>
    <n v="3.52"/>
    <n v="88.29"/>
  </r>
  <r>
    <x v="2"/>
    <x v="3"/>
    <x v="0"/>
    <x v="873"/>
    <n v="42999758"/>
    <n v="8467"/>
    <x v="66"/>
    <n v="58836"/>
    <n v="255793"/>
    <n v="23161"/>
    <n v="34356"/>
    <n v="1244"/>
    <n v="6414"/>
    <n v="338192"/>
    <n v="5860"/>
    <n v="1888987"/>
    <n v="8.9"/>
    <n v="23191991"/>
    <n v="5587874"/>
    <n v="22696165"/>
    <n v="44.95"/>
    <n v="5.6"/>
    <n v="4044"/>
    <n v="4.03"/>
    <n v="22.77"/>
  </r>
  <r>
    <x v="1"/>
    <x v="0"/>
    <x v="4"/>
    <x v="874"/>
    <n v="48757587"/>
    <n v="17210"/>
    <x v="180"/>
    <n v="8435"/>
    <n v="325809"/>
    <n v="32873"/>
    <n v="17273"/>
    <n v="1393"/>
    <n v="215272"/>
    <n v="480206"/>
    <n v="3973"/>
    <n v="1894021"/>
    <n v="25.26"/>
    <n v="18638807"/>
    <n v="22964932"/>
    <n v="2811047"/>
    <n v="68.930000000000007"/>
    <n v="7.55"/>
    <n v="1124"/>
    <n v="3.63"/>
    <n v="89.59"/>
  </r>
  <r>
    <x v="2"/>
    <x v="0"/>
    <x v="2"/>
    <x v="875"/>
    <n v="40078725"/>
    <n v="5258"/>
    <x v="152"/>
    <n v="68084"/>
    <n v="939327"/>
    <n v="35969"/>
    <n v="46884"/>
    <n v="367"/>
    <n v="289824"/>
    <n v="334124"/>
    <n v="9745"/>
    <n v="1275573"/>
    <n v="0.31"/>
    <n v="10210577"/>
    <n v="24201114"/>
    <n v="16035624"/>
    <n v="6.97"/>
    <n v="7.11"/>
    <n v="3255"/>
    <n v="3.53"/>
    <n v="34.159999999999997"/>
  </r>
  <r>
    <x v="2"/>
    <x v="1"/>
    <x v="1"/>
    <x v="876"/>
    <n v="40247799"/>
    <n v="737"/>
    <x v="192"/>
    <n v="4407"/>
    <n v="269116"/>
    <n v="15184"/>
    <n v="26158"/>
    <n v="1459"/>
    <n v="867151"/>
    <n v="57660"/>
    <n v="1615"/>
    <n v="589085"/>
    <n v="19.09"/>
    <n v="10055714"/>
    <n v="19741701"/>
    <n v="22265608"/>
    <n v="85.99"/>
    <n v="8.9600000000000009"/>
    <n v="4094"/>
    <n v="4.8"/>
    <n v="30.93"/>
  </r>
  <r>
    <x v="5"/>
    <x v="3"/>
    <x v="1"/>
    <x v="877"/>
    <n v="27262677"/>
    <n v="16963"/>
    <x v="197"/>
    <n v="33940"/>
    <n v="279026"/>
    <n v="669"/>
    <n v="31543"/>
    <n v="917"/>
    <n v="865548"/>
    <n v="377307"/>
    <n v="3754"/>
    <n v="1101374"/>
    <n v="11.82"/>
    <n v="38672600"/>
    <n v="3647981"/>
    <n v="12642233"/>
    <n v="77.78"/>
    <n v="7.31"/>
    <n v="3483"/>
    <n v="3.02"/>
    <n v="72.680000000000007"/>
  </r>
  <r>
    <x v="3"/>
    <x v="2"/>
    <x v="4"/>
    <x v="878"/>
    <n v="5818331"/>
    <n v="13273"/>
    <x v="257"/>
    <n v="6666"/>
    <n v="722754"/>
    <n v="12663"/>
    <n v="42618"/>
    <n v="1027"/>
    <n v="228061"/>
    <n v="499507"/>
    <n v="5506"/>
    <n v="1721586"/>
    <n v="8.9499999999999993"/>
    <n v="13161168"/>
    <n v="15345532"/>
    <n v="15963495"/>
    <n v="24.52"/>
    <n v="9.98"/>
    <n v="927"/>
    <n v="3.22"/>
    <n v="30.47"/>
  </r>
  <r>
    <x v="2"/>
    <x v="2"/>
    <x v="0"/>
    <x v="879"/>
    <n v="32982872"/>
    <n v="8130"/>
    <x v="212"/>
    <n v="38122"/>
    <n v="465271"/>
    <n v="25318"/>
    <n v="12941"/>
    <n v="243"/>
    <n v="187935"/>
    <n v="214701"/>
    <n v="4221"/>
    <n v="1468806"/>
    <n v="19.73"/>
    <n v="13242015"/>
    <n v="33071024"/>
    <n v="28354754"/>
    <n v="76.8"/>
    <n v="3.81"/>
    <n v="1141"/>
    <n v="4.26"/>
    <n v="5.3"/>
  </r>
  <r>
    <x v="5"/>
    <x v="4"/>
    <x v="4"/>
    <x v="880"/>
    <n v="20241160"/>
    <n v="18587"/>
    <x v="260"/>
    <n v="26092"/>
    <n v="680129"/>
    <n v="33734"/>
    <n v="1369"/>
    <n v="901"/>
    <n v="620001"/>
    <n v="356462"/>
    <n v="5291"/>
    <n v="1650285"/>
    <n v="25.04"/>
    <n v="27394566"/>
    <n v="17546896"/>
    <n v="1236236"/>
    <n v="1.26"/>
    <n v="8.41"/>
    <n v="3109"/>
    <n v="3.38"/>
    <n v="37.36"/>
  </r>
  <r>
    <x v="4"/>
    <x v="2"/>
    <x v="4"/>
    <x v="881"/>
    <n v="11236301"/>
    <n v="9536"/>
    <x v="109"/>
    <n v="27505"/>
    <n v="550308"/>
    <n v="16691"/>
    <n v="24542"/>
    <n v="165"/>
    <n v="421076"/>
    <n v="376706"/>
    <n v="5854"/>
    <n v="1319154"/>
    <n v="16.75"/>
    <n v="10764556"/>
    <n v="3183965"/>
    <n v="3804178"/>
    <n v="21.72"/>
    <n v="7.13"/>
    <n v="1724"/>
    <n v="3.69"/>
    <n v="72.150000000000006"/>
  </r>
  <r>
    <x v="3"/>
    <x v="1"/>
    <x v="3"/>
    <x v="882"/>
    <n v="11652153"/>
    <n v="6144"/>
    <x v="286"/>
    <n v="37713"/>
    <n v="961252"/>
    <n v="18522"/>
    <n v="20354"/>
    <n v="1049"/>
    <n v="562593"/>
    <n v="159587"/>
    <n v="216"/>
    <n v="817460"/>
    <n v="0.93"/>
    <n v="18463194"/>
    <n v="4384679"/>
    <n v="26712417"/>
    <n v="6.51"/>
    <n v="7.07"/>
    <n v="1658"/>
    <n v="1.25"/>
    <n v="32.700000000000003"/>
  </r>
  <r>
    <x v="2"/>
    <x v="1"/>
    <x v="2"/>
    <x v="883"/>
    <n v="29181968"/>
    <n v="7742"/>
    <x v="76"/>
    <n v="55387"/>
    <n v="365765"/>
    <n v="11656"/>
    <n v="4252"/>
    <n v="1418"/>
    <n v="407169"/>
    <n v="457839"/>
    <n v="1359"/>
    <n v="1640422"/>
    <n v="13.84"/>
    <n v="25941316"/>
    <n v="65197"/>
    <n v="9758559"/>
    <n v="78.02"/>
    <n v="3.6"/>
    <n v="2876"/>
    <n v="1.92"/>
    <n v="62.96"/>
  </r>
  <r>
    <x v="0"/>
    <x v="2"/>
    <x v="1"/>
    <x v="884"/>
    <n v="38002833"/>
    <n v="11138"/>
    <x v="256"/>
    <n v="44169"/>
    <n v="872806"/>
    <n v="15893"/>
    <n v="20611"/>
    <n v="1497"/>
    <n v="127099"/>
    <n v="412639"/>
    <n v="3774"/>
    <n v="1860339"/>
    <n v="13.88"/>
    <n v="47125859"/>
    <n v="39033798"/>
    <n v="10245168"/>
    <n v="75.59"/>
    <n v="7.96"/>
    <n v="1267"/>
    <n v="0.82"/>
    <n v="66.010000000000005"/>
  </r>
  <r>
    <x v="6"/>
    <x v="2"/>
    <x v="0"/>
    <x v="885"/>
    <n v="34179364"/>
    <n v="3153"/>
    <x v="100"/>
    <n v="52742"/>
    <n v="45912"/>
    <n v="45857"/>
    <n v="49242"/>
    <n v="1040"/>
    <n v="678563"/>
    <n v="184386"/>
    <n v="5417"/>
    <n v="68573"/>
    <n v="16.309999999999999"/>
    <n v="9801817"/>
    <n v="16065477"/>
    <n v="4420047"/>
    <n v="81.36"/>
    <n v="9.0500000000000007"/>
    <n v="3102"/>
    <n v="2.58"/>
    <n v="73.37"/>
  </r>
  <r>
    <x v="4"/>
    <x v="4"/>
    <x v="1"/>
    <x v="886"/>
    <n v="25933907"/>
    <n v="2490"/>
    <x v="252"/>
    <n v="41522"/>
    <n v="13879"/>
    <n v="16493"/>
    <n v="19126"/>
    <n v="727"/>
    <n v="190593"/>
    <n v="280241"/>
    <n v="4927"/>
    <n v="654761"/>
    <n v="20.13"/>
    <n v="42177577"/>
    <n v="16364483"/>
    <n v="20134243"/>
    <n v="0.45"/>
    <n v="2.58"/>
    <n v="363"/>
    <n v="2.33"/>
    <n v="89.71"/>
  </r>
  <r>
    <x v="4"/>
    <x v="2"/>
    <x v="1"/>
    <x v="887"/>
    <n v="49896072"/>
    <n v="7174"/>
    <x v="190"/>
    <n v="4880"/>
    <n v="559086"/>
    <n v="3632"/>
    <n v="35487"/>
    <n v="1115"/>
    <n v="74676"/>
    <n v="121366"/>
    <n v="4429"/>
    <n v="468508"/>
    <n v="0.57999999999999996"/>
    <n v="5416300"/>
    <n v="5715278"/>
    <n v="7314257"/>
    <n v="50.12"/>
    <n v="6.44"/>
    <n v="779"/>
    <n v="4.99"/>
    <n v="43.26"/>
  </r>
  <r>
    <x v="5"/>
    <x v="4"/>
    <x v="2"/>
    <x v="888"/>
    <n v="44194538"/>
    <n v="17278"/>
    <x v="243"/>
    <n v="44454"/>
    <n v="633079"/>
    <n v="30336"/>
    <n v="30792"/>
    <n v="482"/>
    <n v="95299"/>
    <n v="450319"/>
    <n v="4606"/>
    <n v="1040970"/>
    <n v="15.06"/>
    <n v="41406233"/>
    <n v="5534048"/>
    <n v="12485581"/>
    <n v="70.48"/>
    <n v="4.2300000000000004"/>
    <n v="4089"/>
    <n v="3.09"/>
    <n v="16.64"/>
  </r>
  <r>
    <x v="4"/>
    <x v="4"/>
    <x v="1"/>
    <x v="889"/>
    <n v="40335189"/>
    <n v="14081"/>
    <x v="36"/>
    <n v="56711"/>
    <n v="484042"/>
    <n v="23112"/>
    <n v="45569"/>
    <n v="542"/>
    <n v="623173"/>
    <n v="3779"/>
    <n v="4478"/>
    <n v="1226974"/>
    <n v="17.649999999999999"/>
    <n v="16910623"/>
    <n v="5706419"/>
    <n v="11818141"/>
    <n v="15.54"/>
    <n v="9.9"/>
    <n v="433"/>
    <n v="3.95"/>
    <n v="31.89"/>
  </r>
  <r>
    <x v="3"/>
    <x v="2"/>
    <x v="1"/>
    <x v="890"/>
    <n v="40839104"/>
    <n v="14586"/>
    <x v="18"/>
    <n v="44539"/>
    <n v="702433"/>
    <n v="38452"/>
    <n v="49829"/>
    <n v="1228"/>
    <n v="760442"/>
    <n v="488341"/>
    <n v="1896"/>
    <n v="346123"/>
    <n v="10.3"/>
    <n v="1674842"/>
    <n v="21781154"/>
    <n v="7512129"/>
    <n v="64.98"/>
    <n v="5.05"/>
    <n v="1862"/>
    <n v="1.74"/>
    <n v="43.22"/>
  </r>
  <r>
    <x v="2"/>
    <x v="0"/>
    <x v="4"/>
    <x v="891"/>
    <n v="21155025"/>
    <n v="496"/>
    <x v="97"/>
    <n v="69321"/>
    <n v="338935"/>
    <n v="13266"/>
    <n v="18890"/>
    <n v="1525"/>
    <n v="89419"/>
    <n v="40408"/>
    <n v="7366"/>
    <n v="1018232"/>
    <n v="20.05"/>
    <n v="22483424"/>
    <n v="32363126"/>
    <n v="12982220"/>
    <n v="8.41"/>
    <n v="2.67"/>
    <n v="2374"/>
    <n v="4.17"/>
    <n v="71.39"/>
  </r>
  <r>
    <x v="2"/>
    <x v="0"/>
    <x v="2"/>
    <x v="892"/>
    <n v="22153925"/>
    <n v="3965"/>
    <x v="28"/>
    <n v="15799"/>
    <n v="854415"/>
    <n v="16940"/>
    <n v="3509"/>
    <n v="930"/>
    <n v="606250"/>
    <n v="206196"/>
    <n v="4427"/>
    <n v="791555"/>
    <n v="6.85"/>
    <n v="48478844"/>
    <n v="34654532"/>
    <n v="18778970"/>
    <n v="18.13"/>
    <n v="4.13"/>
    <n v="3479"/>
    <n v="3.11"/>
    <n v="1.31"/>
  </r>
  <r>
    <x v="0"/>
    <x v="4"/>
    <x v="3"/>
    <x v="893"/>
    <n v="48123905"/>
    <n v="15837"/>
    <x v="204"/>
    <n v="61102"/>
    <n v="961509"/>
    <n v="24003"/>
    <n v="31597"/>
    <n v="399"/>
    <n v="179840"/>
    <n v="171014"/>
    <n v="5361"/>
    <n v="279747"/>
    <n v="9.52"/>
    <n v="655860"/>
    <n v="1747844"/>
    <n v="2753082"/>
    <n v="47.58"/>
    <n v="6.71"/>
    <n v="2795"/>
    <n v="3.52"/>
    <n v="31.58"/>
  </r>
  <r>
    <x v="6"/>
    <x v="2"/>
    <x v="0"/>
    <x v="894"/>
    <n v="32790830"/>
    <n v="19543"/>
    <x v="157"/>
    <n v="51726"/>
    <n v="488947"/>
    <n v="32872"/>
    <n v="44468"/>
    <n v="1230"/>
    <n v="690108"/>
    <n v="458724"/>
    <n v="9091"/>
    <n v="329085"/>
    <n v="28.88"/>
    <n v="5891709"/>
    <n v="38151312"/>
    <n v="11415348"/>
    <n v="65.36"/>
    <n v="1.22"/>
    <n v="1914"/>
    <n v="1.54"/>
    <n v="77.98"/>
  </r>
  <r>
    <x v="5"/>
    <x v="0"/>
    <x v="1"/>
    <x v="895"/>
    <n v="45673471"/>
    <n v="17668"/>
    <x v="117"/>
    <n v="49784"/>
    <n v="659210"/>
    <n v="34815"/>
    <n v="26030"/>
    <n v="618"/>
    <n v="31659"/>
    <n v="462848"/>
    <n v="641"/>
    <n v="43597"/>
    <n v="10.44"/>
    <n v="11757619"/>
    <n v="17060608"/>
    <n v="15532339"/>
    <n v="14.59"/>
    <n v="6.23"/>
    <n v="3341"/>
    <n v="2.79"/>
    <n v="67.09"/>
  </r>
  <r>
    <x v="6"/>
    <x v="2"/>
    <x v="0"/>
    <x v="896"/>
    <n v="3092316"/>
    <n v="6637"/>
    <x v="24"/>
    <n v="44333"/>
    <n v="160472"/>
    <n v="30869"/>
    <n v="8090"/>
    <n v="1169"/>
    <n v="42539"/>
    <n v="447254"/>
    <n v="5346"/>
    <n v="1768174"/>
    <n v="10.4"/>
    <n v="45883283"/>
    <n v="7606436"/>
    <n v="3599696"/>
    <n v="18.52"/>
    <n v="9.35"/>
    <n v="4896"/>
    <n v="3.21"/>
    <n v="73.17"/>
  </r>
  <r>
    <x v="4"/>
    <x v="2"/>
    <x v="3"/>
    <x v="897"/>
    <n v="33765940"/>
    <n v="276"/>
    <x v="68"/>
    <n v="41828"/>
    <n v="799385"/>
    <n v="49297"/>
    <n v="23217"/>
    <n v="878"/>
    <n v="757762"/>
    <n v="5795"/>
    <n v="4729"/>
    <n v="871670"/>
    <n v="17.87"/>
    <n v="6503784"/>
    <n v="16786228"/>
    <n v="20254366"/>
    <n v="20.440000000000001"/>
    <n v="8.58"/>
    <n v="277"/>
    <n v="2.99"/>
    <n v="81.180000000000007"/>
  </r>
  <r>
    <x v="0"/>
    <x v="2"/>
    <x v="0"/>
    <x v="898"/>
    <n v="39950157"/>
    <n v="11201"/>
    <x v="23"/>
    <n v="55362"/>
    <n v="631698"/>
    <n v="17257"/>
    <n v="33967"/>
    <n v="100"/>
    <n v="48300"/>
    <n v="226912"/>
    <n v="3627"/>
    <n v="436935"/>
    <n v="29.13"/>
    <n v="25564583"/>
    <n v="25511762"/>
    <n v="28025614"/>
    <n v="23.87"/>
    <n v="1.1399999999999999"/>
    <n v="2114"/>
    <n v="4.58"/>
    <n v="78.319999999999993"/>
  </r>
  <r>
    <x v="6"/>
    <x v="3"/>
    <x v="3"/>
    <x v="899"/>
    <n v="39493189"/>
    <n v="5608"/>
    <x v="97"/>
    <n v="54997"/>
    <n v="650443"/>
    <n v="16682"/>
    <n v="13918"/>
    <n v="879"/>
    <n v="303405"/>
    <n v="58599"/>
    <n v="6594"/>
    <n v="1796722"/>
    <n v="29.49"/>
    <n v="19909306"/>
    <n v="11297291"/>
    <n v="25260152"/>
    <n v="22.66"/>
    <n v="9.94"/>
    <n v="61"/>
    <n v="4.5"/>
    <n v="68.22"/>
  </r>
  <r>
    <x v="3"/>
    <x v="2"/>
    <x v="4"/>
    <x v="900"/>
    <n v="29642589"/>
    <n v="12021"/>
    <x v="250"/>
    <n v="51341"/>
    <n v="155607"/>
    <n v="19622"/>
    <n v="30662"/>
    <n v="829"/>
    <n v="619414"/>
    <n v="23482"/>
    <n v="8387"/>
    <n v="1353471"/>
    <n v="17.39"/>
    <n v="29297868"/>
    <n v="37588019"/>
    <n v="18744061"/>
    <n v="39.51"/>
    <n v="7.14"/>
    <n v="1572"/>
    <n v="4.8600000000000003"/>
    <n v="43.97"/>
  </r>
  <r>
    <x v="2"/>
    <x v="3"/>
    <x v="1"/>
    <x v="901"/>
    <n v="43838325"/>
    <n v="236"/>
    <x v="296"/>
    <n v="20073"/>
    <n v="731896"/>
    <n v="30408"/>
    <n v="30354"/>
    <n v="1903"/>
    <n v="479819"/>
    <n v="276479"/>
    <n v="3275"/>
    <n v="1962470"/>
    <n v="0.03"/>
    <n v="9795499"/>
    <n v="9403024"/>
    <n v="18476435"/>
    <n v="65.38"/>
    <n v="2.04"/>
    <n v="741"/>
    <n v="3.37"/>
    <n v="98.36"/>
  </r>
  <r>
    <x v="4"/>
    <x v="4"/>
    <x v="3"/>
    <x v="902"/>
    <n v="47119069"/>
    <n v="14730"/>
    <x v="88"/>
    <n v="15549"/>
    <n v="469255"/>
    <n v="8837"/>
    <n v="25044"/>
    <n v="1264"/>
    <n v="118868"/>
    <n v="193395"/>
    <n v="4050"/>
    <n v="87978"/>
    <n v="27.02"/>
    <n v="47830631"/>
    <n v="22924414"/>
    <n v="18064132"/>
    <n v="43.8"/>
    <n v="0.62"/>
    <n v="3755"/>
    <n v="4.8600000000000003"/>
    <n v="56.91"/>
  </r>
  <r>
    <x v="0"/>
    <x v="0"/>
    <x v="0"/>
    <x v="903"/>
    <n v="28588529"/>
    <n v="14609"/>
    <x v="297"/>
    <n v="57920"/>
    <n v="253712"/>
    <n v="15407"/>
    <n v="25798"/>
    <n v="1946"/>
    <n v="699523"/>
    <n v="133538"/>
    <n v="4553"/>
    <n v="1329413"/>
    <n v="17.11"/>
    <n v="13327988"/>
    <n v="36354320"/>
    <n v="22306438"/>
    <n v="77.599999999999994"/>
    <n v="2.13"/>
    <n v="1789"/>
    <n v="4.18"/>
    <n v="20.28"/>
  </r>
  <r>
    <x v="6"/>
    <x v="0"/>
    <x v="1"/>
    <x v="904"/>
    <n v="36719181"/>
    <n v="11119"/>
    <x v="3"/>
    <n v="21316"/>
    <n v="868461"/>
    <n v="29309"/>
    <n v="12761"/>
    <n v="758"/>
    <n v="605691"/>
    <n v="158639"/>
    <n v="4925"/>
    <n v="1532333"/>
    <n v="10.98"/>
    <n v="530901"/>
    <n v="8291514"/>
    <n v="8449809"/>
    <n v="71.930000000000007"/>
    <n v="8.4600000000000009"/>
    <n v="1575"/>
    <n v="1.43"/>
    <n v="29.28"/>
  </r>
  <r>
    <x v="5"/>
    <x v="0"/>
    <x v="4"/>
    <x v="905"/>
    <n v="47491244"/>
    <n v="2585"/>
    <x v="153"/>
    <n v="27183"/>
    <n v="5055"/>
    <n v="6382"/>
    <n v="47492"/>
    <n v="162"/>
    <n v="119498"/>
    <n v="452632"/>
    <n v="2304"/>
    <n v="1218345"/>
    <n v="24.88"/>
    <n v="38645201"/>
    <n v="15737858"/>
    <n v="23404087"/>
    <n v="12.65"/>
    <n v="0.71"/>
    <n v="119"/>
    <n v="2.19"/>
    <n v="69.36"/>
  </r>
  <r>
    <x v="3"/>
    <x v="0"/>
    <x v="1"/>
    <x v="906"/>
    <n v="24006142"/>
    <n v="1982"/>
    <x v="79"/>
    <n v="25624"/>
    <n v="301314"/>
    <n v="27654"/>
    <n v="33803"/>
    <n v="1907"/>
    <n v="241824"/>
    <n v="374712"/>
    <n v="3343"/>
    <n v="357668"/>
    <n v="11.99"/>
    <n v="28221020"/>
    <n v="28595484"/>
    <n v="23281482"/>
    <n v="4.88"/>
    <n v="2.71"/>
    <n v="2298"/>
    <n v="1.27"/>
    <n v="92.47"/>
  </r>
  <r>
    <x v="3"/>
    <x v="0"/>
    <x v="3"/>
    <x v="907"/>
    <n v="41301245"/>
    <n v="2082"/>
    <x v="142"/>
    <n v="63515"/>
    <n v="230016"/>
    <n v="18895"/>
    <n v="32849"/>
    <n v="1196"/>
    <n v="510162"/>
    <n v="6864"/>
    <n v="2056"/>
    <n v="361013"/>
    <n v="1.02"/>
    <n v="17639850"/>
    <n v="34623509"/>
    <n v="2013279"/>
    <n v="87.79"/>
    <n v="7.69"/>
    <n v="3173"/>
    <n v="0.12"/>
    <n v="17.87"/>
  </r>
  <r>
    <x v="6"/>
    <x v="0"/>
    <x v="4"/>
    <x v="908"/>
    <n v="20199205"/>
    <n v="1302"/>
    <x v="129"/>
    <n v="47705"/>
    <n v="763945"/>
    <n v="33551"/>
    <n v="38324"/>
    <n v="501"/>
    <n v="429083"/>
    <n v="222068"/>
    <n v="2808"/>
    <n v="686352"/>
    <n v="24.63"/>
    <n v="10380943"/>
    <n v="4927653"/>
    <n v="14036081"/>
    <n v="7.98"/>
    <n v="6.07"/>
    <n v="4774"/>
    <n v="1.02"/>
    <n v="8.23"/>
  </r>
  <r>
    <x v="2"/>
    <x v="0"/>
    <x v="0"/>
    <x v="909"/>
    <n v="35038588"/>
    <n v="5559"/>
    <x v="298"/>
    <n v="27756"/>
    <n v="887408"/>
    <n v="21376"/>
    <n v="35463"/>
    <n v="546"/>
    <n v="514020"/>
    <n v="113931"/>
    <n v="7092"/>
    <n v="1375545"/>
    <n v="16.38"/>
    <n v="35125357"/>
    <n v="26342876"/>
    <n v="9123801"/>
    <n v="14.83"/>
    <n v="7.94"/>
    <n v="3380"/>
    <n v="0.12"/>
    <n v="88.15"/>
  </r>
  <r>
    <x v="6"/>
    <x v="4"/>
    <x v="4"/>
    <x v="910"/>
    <n v="26529483"/>
    <n v="5124"/>
    <x v="299"/>
    <n v="61390"/>
    <n v="291395"/>
    <n v="370"/>
    <n v="9395"/>
    <n v="1307"/>
    <n v="322538"/>
    <n v="61936"/>
    <n v="9416"/>
    <n v="665882"/>
    <n v="10.14"/>
    <n v="29445794"/>
    <n v="27486965"/>
    <n v="27664228"/>
    <n v="2.21"/>
    <n v="7.59"/>
    <n v="1337"/>
    <n v="3.63"/>
    <n v="91.53"/>
  </r>
  <r>
    <x v="4"/>
    <x v="2"/>
    <x v="4"/>
    <x v="911"/>
    <n v="30778124"/>
    <n v="13950"/>
    <x v="2"/>
    <n v="69369"/>
    <n v="923036"/>
    <n v="48676"/>
    <n v="18242"/>
    <n v="1382"/>
    <n v="233729"/>
    <n v="294167"/>
    <n v="7226"/>
    <n v="1442195"/>
    <n v="7.53"/>
    <n v="2643508"/>
    <n v="10974020"/>
    <n v="19776027"/>
    <n v="62.83"/>
    <n v="0.98"/>
    <n v="625"/>
    <n v="2.19"/>
    <n v="27.64"/>
  </r>
  <r>
    <x v="6"/>
    <x v="1"/>
    <x v="2"/>
    <x v="912"/>
    <n v="13831690"/>
    <n v="14573"/>
    <x v="145"/>
    <n v="10589"/>
    <n v="661284"/>
    <n v="486"/>
    <n v="43354"/>
    <n v="380"/>
    <n v="838376"/>
    <n v="255133"/>
    <n v="886"/>
    <n v="1881414"/>
    <n v="17.809999999999999"/>
    <n v="17612705"/>
    <n v="20358813"/>
    <n v="25648945"/>
    <n v="58.24"/>
    <n v="8.98"/>
    <n v="2222"/>
    <n v="1.63"/>
    <n v="37.729999999999997"/>
  </r>
  <r>
    <x v="3"/>
    <x v="3"/>
    <x v="4"/>
    <x v="913"/>
    <n v="11125643"/>
    <n v="1931"/>
    <x v="211"/>
    <n v="15116"/>
    <n v="49037"/>
    <n v="23762"/>
    <n v="34800"/>
    <n v="869"/>
    <n v="62248"/>
    <n v="357955"/>
    <n v="8584"/>
    <n v="239078"/>
    <n v="6.24"/>
    <n v="4999682"/>
    <n v="13803510"/>
    <n v="22120449"/>
    <n v="98.69"/>
    <n v="2.66"/>
    <n v="794"/>
    <n v="3.83"/>
    <n v="66.02"/>
  </r>
  <r>
    <x v="0"/>
    <x v="1"/>
    <x v="4"/>
    <x v="914"/>
    <n v="46053994"/>
    <n v="319"/>
    <x v="203"/>
    <n v="45786"/>
    <n v="996586"/>
    <n v="26613"/>
    <n v="15841"/>
    <n v="904"/>
    <n v="41690"/>
    <n v="16392"/>
    <n v="9867"/>
    <n v="1289716"/>
    <n v="9.7200000000000006"/>
    <n v="11161667"/>
    <n v="19071351"/>
    <n v="3919059"/>
    <n v="88.69"/>
    <n v="5.76"/>
    <n v="2577"/>
    <n v="4.18"/>
    <n v="32.99"/>
  </r>
  <r>
    <x v="6"/>
    <x v="1"/>
    <x v="1"/>
    <x v="915"/>
    <n v="43599658"/>
    <n v="1680"/>
    <x v="203"/>
    <n v="31286"/>
    <n v="93115"/>
    <n v="47268"/>
    <n v="20135"/>
    <n v="1995"/>
    <n v="40818"/>
    <n v="387157"/>
    <n v="7720"/>
    <n v="1717057"/>
    <n v="19.100000000000001"/>
    <n v="4803829"/>
    <n v="35158745"/>
    <n v="24810051"/>
    <n v="41.08"/>
    <n v="6.62"/>
    <n v="3123"/>
    <n v="4.88"/>
    <n v="87.72"/>
  </r>
  <r>
    <x v="2"/>
    <x v="2"/>
    <x v="0"/>
    <x v="916"/>
    <n v="5796990"/>
    <n v="18008"/>
    <x v="51"/>
    <n v="16994"/>
    <n v="990125"/>
    <n v="3196"/>
    <n v="45718"/>
    <n v="1934"/>
    <n v="692878"/>
    <n v="394930"/>
    <n v="2446"/>
    <n v="1697235"/>
    <n v="26.45"/>
    <n v="28297604"/>
    <n v="28594478"/>
    <n v="22414975"/>
    <n v="37.159999999999997"/>
    <n v="2.1"/>
    <n v="4260"/>
    <n v="3.25"/>
    <n v="10.76"/>
  </r>
  <r>
    <x v="0"/>
    <x v="2"/>
    <x v="1"/>
    <x v="917"/>
    <n v="33150907"/>
    <n v="13433"/>
    <x v="206"/>
    <n v="27639"/>
    <n v="865358"/>
    <n v="42320"/>
    <n v="17692"/>
    <n v="1556"/>
    <n v="124578"/>
    <n v="283183"/>
    <n v="3905"/>
    <n v="1457011"/>
    <n v="15.99"/>
    <n v="42210953"/>
    <n v="12020116"/>
    <n v="16947532"/>
    <n v="29.69"/>
    <n v="9.77"/>
    <n v="4626"/>
    <n v="2.36"/>
    <n v="3.8"/>
  </r>
  <r>
    <x v="5"/>
    <x v="2"/>
    <x v="1"/>
    <x v="918"/>
    <n v="12799755"/>
    <n v="16202"/>
    <x v="125"/>
    <n v="18205"/>
    <n v="473032"/>
    <n v="29401"/>
    <n v="36880"/>
    <n v="1843"/>
    <n v="40259"/>
    <n v="243872"/>
    <n v="6474"/>
    <n v="789049"/>
    <n v="22.77"/>
    <n v="3825971"/>
    <n v="509590"/>
    <n v="15655959"/>
    <n v="15.24"/>
    <n v="5.14"/>
    <n v="1074"/>
    <n v="1.6"/>
    <n v="20.85"/>
  </r>
  <r>
    <x v="1"/>
    <x v="0"/>
    <x v="3"/>
    <x v="919"/>
    <n v="32720741"/>
    <n v="11134"/>
    <x v="183"/>
    <n v="57677"/>
    <n v="483870"/>
    <n v="35029"/>
    <n v="17298"/>
    <n v="1186"/>
    <n v="803430"/>
    <n v="18900"/>
    <n v="3591"/>
    <n v="44016"/>
    <n v="22.89"/>
    <n v="7925660"/>
    <n v="1602243"/>
    <n v="863996"/>
    <n v="13.81"/>
    <n v="1.05"/>
    <n v="991"/>
    <n v="1.19"/>
    <n v="28.61"/>
  </r>
  <r>
    <x v="6"/>
    <x v="4"/>
    <x v="1"/>
    <x v="920"/>
    <n v="40983087"/>
    <n v="1745"/>
    <x v="270"/>
    <n v="33930"/>
    <n v="71400"/>
    <n v="10813"/>
    <n v="35804"/>
    <n v="1001"/>
    <n v="550777"/>
    <n v="56540"/>
    <n v="2181"/>
    <n v="444888"/>
    <n v="19.93"/>
    <n v="47265119"/>
    <n v="11572116"/>
    <n v="13585775"/>
    <n v="13.23"/>
    <n v="9.4"/>
    <n v="817"/>
    <n v="1.1399999999999999"/>
    <n v="11.29"/>
  </r>
  <r>
    <x v="2"/>
    <x v="0"/>
    <x v="2"/>
    <x v="921"/>
    <n v="45357903"/>
    <n v="19692"/>
    <x v="37"/>
    <n v="19316"/>
    <n v="624813"/>
    <n v="41916"/>
    <n v="39487"/>
    <n v="608"/>
    <n v="496426"/>
    <n v="416562"/>
    <n v="5011"/>
    <n v="1335996"/>
    <n v="7.38"/>
    <n v="3249950"/>
    <n v="9171342"/>
    <n v="9583333"/>
    <n v="11.41"/>
    <n v="6.07"/>
    <n v="2488"/>
    <n v="2.11"/>
    <n v="6.57"/>
  </r>
  <r>
    <x v="0"/>
    <x v="4"/>
    <x v="2"/>
    <x v="922"/>
    <n v="2321367"/>
    <n v="14871"/>
    <x v="132"/>
    <n v="28304"/>
    <n v="364308"/>
    <n v="8572"/>
    <n v="24415"/>
    <n v="306"/>
    <n v="681428"/>
    <n v="127621"/>
    <n v="5030"/>
    <n v="1804823"/>
    <n v="26"/>
    <n v="32490561"/>
    <n v="16535056"/>
    <n v="11198969"/>
    <n v="24.05"/>
    <n v="7.14"/>
    <n v="883"/>
    <n v="4.96"/>
    <n v="75.56"/>
  </r>
  <r>
    <x v="2"/>
    <x v="4"/>
    <x v="3"/>
    <x v="923"/>
    <n v="37427295"/>
    <n v="3312"/>
    <x v="244"/>
    <n v="14403"/>
    <n v="224457"/>
    <n v="47776"/>
    <n v="38747"/>
    <n v="1362"/>
    <n v="379679"/>
    <n v="446121"/>
    <n v="354"/>
    <n v="1383960"/>
    <n v="13.09"/>
    <n v="6773060"/>
    <n v="21495858"/>
    <n v="13913263"/>
    <n v="30.67"/>
    <n v="5.49"/>
    <n v="2240"/>
    <n v="0.1"/>
    <n v="16.43"/>
  </r>
  <r>
    <x v="5"/>
    <x v="1"/>
    <x v="0"/>
    <x v="924"/>
    <n v="30198493"/>
    <n v="1495"/>
    <x v="226"/>
    <n v="32932"/>
    <n v="749462"/>
    <n v="28225"/>
    <n v="2630"/>
    <n v="54"/>
    <n v="853509"/>
    <n v="121427"/>
    <n v="2631"/>
    <n v="893724"/>
    <n v="1.33"/>
    <n v="14634916"/>
    <n v="32381374"/>
    <n v="10946422"/>
    <n v="96.16"/>
    <n v="8.43"/>
    <n v="677"/>
    <n v="1.07"/>
    <n v="91.39"/>
  </r>
  <r>
    <x v="3"/>
    <x v="1"/>
    <x v="0"/>
    <x v="925"/>
    <n v="30735640"/>
    <n v="16486"/>
    <x v="80"/>
    <n v="37701"/>
    <n v="142774"/>
    <n v="45853"/>
    <n v="35424"/>
    <n v="982"/>
    <n v="367875"/>
    <n v="49748"/>
    <n v="1521"/>
    <n v="1236383"/>
    <n v="7.34"/>
    <n v="47207456"/>
    <n v="35404602"/>
    <n v="5014236"/>
    <n v="57.85"/>
    <n v="0.81"/>
    <n v="426"/>
    <n v="1.02"/>
    <n v="36.799999999999997"/>
  </r>
  <r>
    <x v="2"/>
    <x v="4"/>
    <x v="1"/>
    <x v="926"/>
    <n v="2078315"/>
    <n v="9999"/>
    <x v="173"/>
    <n v="4385"/>
    <n v="894164"/>
    <n v="49390"/>
    <n v="37643"/>
    <n v="332"/>
    <n v="685959"/>
    <n v="377436"/>
    <n v="2672"/>
    <n v="1591823"/>
    <n v="22.97"/>
    <n v="37433411"/>
    <n v="7651922"/>
    <n v="25578937"/>
    <n v="98.76"/>
    <n v="3.05"/>
    <n v="3936"/>
    <n v="3.61"/>
    <n v="67.06"/>
  </r>
  <r>
    <x v="0"/>
    <x v="4"/>
    <x v="1"/>
    <x v="927"/>
    <n v="41481642"/>
    <n v="18100"/>
    <x v="146"/>
    <n v="58241"/>
    <n v="16385"/>
    <n v="32275"/>
    <n v="35067"/>
    <n v="126"/>
    <n v="876832"/>
    <n v="450167"/>
    <n v="2337"/>
    <n v="1602386"/>
    <n v="2.0699999999999998"/>
    <n v="32180410"/>
    <n v="15348529"/>
    <n v="21292579"/>
    <n v="37.25"/>
    <n v="4.96"/>
    <n v="139"/>
    <n v="1.83"/>
    <n v="22.54"/>
  </r>
  <r>
    <x v="2"/>
    <x v="0"/>
    <x v="1"/>
    <x v="928"/>
    <n v="25576068"/>
    <n v="6951"/>
    <x v="233"/>
    <n v="11367"/>
    <n v="796768"/>
    <n v="6843"/>
    <n v="40148"/>
    <n v="1963"/>
    <n v="434355"/>
    <n v="425004"/>
    <n v="6968"/>
    <n v="1498879"/>
    <n v="4.42"/>
    <n v="5347519"/>
    <n v="23498529"/>
    <n v="19829249"/>
    <n v="45.76"/>
    <n v="1.23"/>
    <n v="2905"/>
    <n v="2.34"/>
    <n v="24.03"/>
  </r>
  <r>
    <x v="2"/>
    <x v="0"/>
    <x v="0"/>
    <x v="929"/>
    <n v="18626806"/>
    <n v="19219"/>
    <x v="175"/>
    <n v="66030"/>
    <n v="852853"/>
    <n v="1105"/>
    <n v="13864"/>
    <n v="704"/>
    <n v="891611"/>
    <n v="355742"/>
    <n v="628"/>
    <n v="1452745"/>
    <n v="20.83"/>
    <n v="11847006"/>
    <n v="35138924"/>
    <n v="8334206"/>
    <n v="32.46"/>
    <n v="7.21"/>
    <n v="1115"/>
    <n v="0.83"/>
    <n v="57.47"/>
  </r>
  <r>
    <x v="2"/>
    <x v="1"/>
    <x v="4"/>
    <x v="930"/>
    <n v="45947478"/>
    <n v="769"/>
    <x v="174"/>
    <n v="47505"/>
    <n v="949729"/>
    <n v="43209"/>
    <n v="9687"/>
    <n v="242"/>
    <n v="286126"/>
    <n v="292008"/>
    <n v="7162"/>
    <n v="27567"/>
    <n v="26.78"/>
    <n v="1203307"/>
    <n v="10658864"/>
    <n v="5083496"/>
    <n v="18.29"/>
    <n v="4.24"/>
    <n v="1108"/>
    <n v="2.08"/>
    <n v="56.06"/>
  </r>
  <r>
    <x v="4"/>
    <x v="2"/>
    <x v="2"/>
    <x v="931"/>
    <n v="47023237"/>
    <n v="8647"/>
    <x v="187"/>
    <n v="34332"/>
    <n v="561309"/>
    <n v="31639"/>
    <n v="44121"/>
    <n v="1884"/>
    <n v="331856"/>
    <n v="294714"/>
    <n v="2679"/>
    <n v="1503315"/>
    <n v="19.010000000000002"/>
    <n v="26979567"/>
    <n v="26672645"/>
    <n v="8677649"/>
    <n v="14.32"/>
    <n v="3.09"/>
    <n v="3109"/>
    <n v="0.61"/>
    <n v="76.87"/>
  </r>
  <r>
    <x v="4"/>
    <x v="4"/>
    <x v="4"/>
    <x v="932"/>
    <n v="11699747"/>
    <n v="6905"/>
    <x v="300"/>
    <n v="36268"/>
    <n v="922286"/>
    <n v="42487"/>
    <n v="24084"/>
    <n v="599"/>
    <n v="448977"/>
    <n v="256260"/>
    <n v="5266"/>
    <n v="1112284"/>
    <n v="6.67"/>
    <n v="39950551"/>
    <n v="29709429"/>
    <n v="23771312"/>
    <n v="94.51"/>
    <n v="0.53"/>
    <n v="4122"/>
    <n v="2.71"/>
    <n v="75.78"/>
  </r>
  <r>
    <x v="3"/>
    <x v="0"/>
    <x v="4"/>
    <x v="933"/>
    <n v="5940107"/>
    <n v="18728"/>
    <x v="154"/>
    <n v="26563"/>
    <n v="509670"/>
    <n v="18051"/>
    <n v="17834"/>
    <n v="1871"/>
    <n v="481033"/>
    <n v="169673"/>
    <n v="4422"/>
    <n v="127206"/>
    <n v="1.6"/>
    <n v="33243312"/>
    <n v="9831876"/>
    <n v="20548871"/>
    <n v="98.68"/>
    <n v="7.34"/>
    <n v="2650"/>
    <n v="0.57999999999999996"/>
    <n v="67.069999999999993"/>
  </r>
  <r>
    <x v="6"/>
    <x v="1"/>
    <x v="0"/>
    <x v="934"/>
    <n v="49226898"/>
    <n v="8313"/>
    <x v="51"/>
    <n v="37404"/>
    <n v="118369"/>
    <n v="28708"/>
    <n v="775"/>
    <n v="1432"/>
    <n v="816980"/>
    <n v="57307"/>
    <n v="9630"/>
    <n v="547848"/>
    <n v="18.45"/>
    <n v="27113012"/>
    <n v="29479686"/>
    <n v="26066105"/>
    <n v="4.49"/>
    <n v="8.42"/>
    <n v="4269"/>
    <n v="3.97"/>
    <n v="44.91"/>
  </r>
  <r>
    <x v="2"/>
    <x v="0"/>
    <x v="4"/>
    <x v="935"/>
    <n v="7581530"/>
    <n v="14570"/>
    <x v="161"/>
    <n v="56182"/>
    <n v="745990"/>
    <n v="35459"/>
    <n v="45449"/>
    <n v="502"/>
    <n v="395752"/>
    <n v="62257"/>
    <n v="7463"/>
    <n v="1632254"/>
    <n v="1.42"/>
    <n v="7726409"/>
    <n v="31760224"/>
    <n v="20034062"/>
    <n v="15.03"/>
    <n v="4.25"/>
    <n v="2154"/>
    <n v="2.88"/>
    <n v="89.06"/>
  </r>
  <r>
    <x v="5"/>
    <x v="4"/>
    <x v="3"/>
    <x v="936"/>
    <n v="48994716"/>
    <n v="11924"/>
    <x v="277"/>
    <n v="33991"/>
    <n v="574399"/>
    <n v="11864"/>
    <n v="31625"/>
    <n v="1750"/>
    <n v="560602"/>
    <n v="134388"/>
    <n v="9613"/>
    <n v="1699636"/>
    <n v="18.38"/>
    <n v="5311344"/>
    <n v="29920204"/>
    <n v="5562344"/>
    <n v="42.35"/>
    <n v="5.86"/>
    <n v="2903"/>
    <n v="3.65"/>
    <n v="62.26"/>
  </r>
  <r>
    <x v="6"/>
    <x v="4"/>
    <x v="1"/>
    <x v="937"/>
    <n v="27135617"/>
    <n v="14129"/>
    <x v="293"/>
    <n v="48663"/>
    <n v="90402"/>
    <n v="34764"/>
    <n v="48936"/>
    <n v="603"/>
    <n v="715554"/>
    <n v="153244"/>
    <n v="1126"/>
    <n v="462365"/>
    <n v="6.77"/>
    <n v="31449713"/>
    <n v="28818458"/>
    <n v="3873680"/>
    <n v="18.63"/>
    <n v="2.66"/>
    <n v="2705"/>
    <n v="2.15"/>
    <n v="99.02"/>
  </r>
  <r>
    <x v="5"/>
    <x v="3"/>
    <x v="3"/>
    <x v="938"/>
    <n v="46933552"/>
    <n v="17132"/>
    <x v="153"/>
    <n v="66886"/>
    <n v="645062"/>
    <n v="1425"/>
    <n v="36870"/>
    <n v="302"/>
    <n v="410640"/>
    <n v="93878"/>
    <n v="1780"/>
    <n v="955164"/>
    <n v="27.14"/>
    <n v="35495361"/>
    <n v="9239238"/>
    <n v="5049025"/>
    <n v="36.39"/>
    <n v="6.41"/>
    <n v="1565"/>
    <n v="1.97"/>
    <n v="81.94"/>
  </r>
  <r>
    <x v="6"/>
    <x v="2"/>
    <x v="2"/>
    <x v="939"/>
    <n v="30610314"/>
    <n v="7293"/>
    <x v="135"/>
    <n v="25127"/>
    <n v="254724"/>
    <n v="49146"/>
    <n v="12985"/>
    <n v="1487"/>
    <n v="392137"/>
    <n v="130116"/>
    <n v="9723"/>
    <n v="1356824"/>
    <n v="14.25"/>
    <n v="8085898"/>
    <n v="37925984"/>
    <n v="2653381"/>
    <n v="12.91"/>
    <n v="0.62"/>
    <n v="3067"/>
    <n v="0.57999999999999996"/>
    <n v="4.43"/>
  </r>
  <r>
    <x v="3"/>
    <x v="3"/>
    <x v="1"/>
    <x v="940"/>
    <n v="20174922"/>
    <n v="9068"/>
    <x v="205"/>
    <n v="58692"/>
    <n v="740945"/>
    <n v="6849"/>
    <n v="9351"/>
    <n v="234"/>
    <n v="60704"/>
    <n v="124388"/>
    <n v="9424"/>
    <n v="1631669"/>
    <n v="6.72"/>
    <n v="39543952"/>
    <n v="19739152"/>
    <n v="7046492"/>
    <n v="45.65"/>
    <n v="5.14"/>
    <n v="4197"/>
    <n v="2.67"/>
    <n v="32.06"/>
  </r>
  <r>
    <x v="2"/>
    <x v="1"/>
    <x v="4"/>
    <x v="941"/>
    <n v="25559572"/>
    <n v="16782"/>
    <x v="222"/>
    <n v="38500"/>
    <n v="830151"/>
    <n v="36015"/>
    <n v="28151"/>
    <n v="1719"/>
    <n v="557632"/>
    <n v="168304"/>
    <n v="6571"/>
    <n v="237109"/>
    <n v="25.59"/>
    <n v="5280619"/>
    <n v="37638828"/>
    <n v="12728218"/>
    <n v="27.17"/>
    <n v="6.62"/>
    <n v="1623"/>
    <n v="2.62"/>
    <n v="57.19"/>
  </r>
  <r>
    <x v="2"/>
    <x v="0"/>
    <x v="2"/>
    <x v="942"/>
    <n v="37255905"/>
    <n v="12150"/>
    <x v="176"/>
    <n v="34785"/>
    <n v="228600"/>
    <n v="18976"/>
    <n v="12344"/>
    <n v="1061"/>
    <n v="249327"/>
    <n v="110673"/>
    <n v="8584"/>
    <n v="496951"/>
    <n v="7.62"/>
    <n v="46003137"/>
    <n v="25553508"/>
    <n v="26813860"/>
    <n v="35.19"/>
    <n v="9.2200000000000006"/>
    <n v="2586"/>
    <n v="2.39"/>
    <n v="72.150000000000006"/>
  </r>
  <r>
    <x v="1"/>
    <x v="1"/>
    <x v="1"/>
    <x v="943"/>
    <n v="31897110"/>
    <n v="16741"/>
    <x v="0"/>
    <n v="48997"/>
    <n v="705397"/>
    <n v="34258"/>
    <n v="48855"/>
    <n v="138"/>
    <n v="245756"/>
    <n v="120830"/>
    <n v="825"/>
    <n v="1336216"/>
    <n v="9.1999999999999993"/>
    <n v="43131077"/>
    <n v="19692215"/>
    <n v="24410175"/>
    <n v="9.43"/>
    <n v="4.12"/>
    <n v="3976"/>
    <n v="3.73"/>
    <n v="55.03"/>
  </r>
  <r>
    <x v="5"/>
    <x v="4"/>
    <x v="4"/>
    <x v="944"/>
    <n v="9814823"/>
    <n v="19850"/>
    <x v="301"/>
    <n v="8170"/>
    <n v="474319"/>
    <n v="47078"/>
    <n v="15845"/>
    <n v="194"/>
    <n v="344587"/>
    <n v="411177"/>
    <n v="7276"/>
    <n v="1788237"/>
    <n v="25.03"/>
    <n v="46264132"/>
    <n v="9904053"/>
    <n v="27697441"/>
    <n v="42.81"/>
    <n v="7.77"/>
    <n v="2102"/>
    <n v="4.18"/>
    <n v="78.61"/>
  </r>
  <r>
    <x v="6"/>
    <x v="3"/>
    <x v="3"/>
    <x v="945"/>
    <n v="23784876"/>
    <n v="4870"/>
    <x v="20"/>
    <n v="14303"/>
    <n v="650983"/>
    <n v="31113"/>
    <n v="26558"/>
    <n v="1550"/>
    <n v="22018"/>
    <n v="64286"/>
    <n v="2395"/>
    <n v="92257"/>
    <n v="9.26"/>
    <n v="33410131"/>
    <n v="11606231"/>
    <n v="19179537"/>
    <n v="98.33"/>
    <n v="6.18"/>
    <n v="3846"/>
    <n v="3.78"/>
    <n v="28.27"/>
  </r>
  <r>
    <x v="6"/>
    <x v="3"/>
    <x v="1"/>
    <x v="946"/>
    <n v="45476489"/>
    <n v="11051"/>
    <x v="79"/>
    <n v="36187"/>
    <n v="135585"/>
    <n v="49984"/>
    <n v="35444"/>
    <n v="1792"/>
    <n v="410775"/>
    <n v="267204"/>
    <n v="4145"/>
    <n v="1053091"/>
    <n v="12.3"/>
    <n v="45644884"/>
    <n v="23935004"/>
    <n v="8929343"/>
    <n v="32.880000000000003"/>
    <n v="9.31"/>
    <n v="681"/>
    <n v="0.8"/>
    <n v="18.39"/>
  </r>
  <r>
    <x v="4"/>
    <x v="3"/>
    <x v="4"/>
    <x v="947"/>
    <n v="35504423"/>
    <n v="13957"/>
    <x v="41"/>
    <n v="66034"/>
    <n v="771543"/>
    <n v="15401"/>
    <n v="25049"/>
    <n v="646"/>
    <n v="547840"/>
    <n v="18881"/>
    <n v="7059"/>
    <n v="529742"/>
    <n v="10.43"/>
    <n v="40438216"/>
    <n v="17884442"/>
    <n v="28528489"/>
    <n v="87.64"/>
    <n v="4.28"/>
    <n v="1911"/>
    <n v="3.15"/>
    <n v="5.39"/>
  </r>
  <r>
    <x v="1"/>
    <x v="1"/>
    <x v="3"/>
    <x v="948"/>
    <n v="32557821"/>
    <n v="19992"/>
    <x v="57"/>
    <n v="2893"/>
    <n v="669695"/>
    <n v="12884"/>
    <n v="32540"/>
    <n v="0"/>
    <n v="781134"/>
    <n v="237777"/>
    <n v="5492"/>
    <n v="238145"/>
    <n v="3.49"/>
    <n v="31383003"/>
    <n v="12510821"/>
    <n v="5783881"/>
    <n v="84.32"/>
    <n v="3.53"/>
    <n v="4002"/>
    <n v="0.49"/>
    <n v="57.33"/>
  </r>
  <r>
    <x v="0"/>
    <x v="4"/>
    <x v="2"/>
    <x v="949"/>
    <n v="22445770"/>
    <n v="11719"/>
    <x v="246"/>
    <n v="14753"/>
    <n v="700500"/>
    <n v="18824"/>
    <n v="38746"/>
    <n v="560"/>
    <n v="594591"/>
    <n v="257606"/>
    <n v="7111"/>
    <n v="23873"/>
    <n v="1.17"/>
    <n v="5170428"/>
    <n v="1516660"/>
    <n v="7206757"/>
    <n v="95.21"/>
    <n v="8.93"/>
    <n v="1282"/>
    <n v="3.5"/>
    <n v="68.86"/>
  </r>
  <r>
    <x v="0"/>
    <x v="0"/>
    <x v="2"/>
    <x v="950"/>
    <n v="44954950"/>
    <n v="15966"/>
    <x v="165"/>
    <n v="39090"/>
    <n v="105126"/>
    <n v="37563"/>
    <n v="40419"/>
    <n v="1119"/>
    <n v="72024"/>
    <n v="31226"/>
    <n v="9984"/>
    <n v="1909928"/>
    <n v="21.74"/>
    <n v="46110582"/>
    <n v="26215015"/>
    <n v="8131322"/>
    <n v="79.010000000000005"/>
    <n v="0.97"/>
    <n v="2314"/>
    <n v="1.97"/>
    <n v="32.61"/>
  </r>
  <r>
    <x v="4"/>
    <x v="0"/>
    <x v="2"/>
    <x v="951"/>
    <n v="924528"/>
    <n v="10928"/>
    <x v="52"/>
    <n v="65922"/>
    <n v="736733"/>
    <n v="34414"/>
    <n v="18575"/>
    <n v="712"/>
    <n v="749370"/>
    <n v="238317"/>
    <n v="6792"/>
    <n v="1325447"/>
    <n v="19.350000000000001"/>
    <n v="16085063"/>
    <n v="9089580"/>
    <n v="2803627"/>
    <n v="65.959999999999994"/>
    <n v="1.8"/>
    <n v="2097"/>
    <n v="0.75"/>
    <n v="61.36"/>
  </r>
  <r>
    <x v="4"/>
    <x v="1"/>
    <x v="2"/>
    <x v="952"/>
    <n v="28201434"/>
    <n v="3035"/>
    <x v="59"/>
    <n v="60412"/>
    <n v="602946"/>
    <n v="16142"/>
    <n v="9844"/>
    <n v="412"/>
    <n v="519355"/>
    <n v="415894"/>
    <n v="9555"/>
    <n v="1702240"/>
    <n v="8.4700000000000006"/>
    <n v="40988894"/>
    <n v="29358934"/>
    <n v="5196816"/>
    <n v="85.66"/>
    <n v="1.28"/>
    <n v="585"/>
    <n v="4.32"/>
    <n v="5.22"/>
  </r>
  <r>
    <x v="4"/>
    <x v="3"/>
    <x v="0"/>
    <x v="953"/>
    <n v="30748531"/>
    <n v="8162"/>
    <x v="294"/>
    <n v="57030"/>
    <n v="166912"/>
    <n v="47074"/>
    <n v="36666"/>
    <n v="537"/>
    <n v="876504"/>
    <n v="368278"/>
    <n v="3551"/>
    <n v="594358"/>
    <n v="8.8699999999999992"/>
    <n v="3897619"/>
    <n v="3917342"/>
    <n v="16837050"/>
    <n v="7.56"/>
    <n v="8.51"/>
    <n v="3583"/>
    <n v="3.11"/>
    <n v="9.93"/>
  </r>
  <r>
    <x v="5"/>
    <x v="2"/>
    <x v="1"/>
    <x v="954"/>
    <n v="11603831"/>
    <n v="8517"/>
    <x v="259"/>
    <n v="18509"/>
    <n v="818439"/>
    <n v="49592"/>
    <n v="850"/>
    <n v="1878"/>
    <n v="591809"/>
    <n v="280127"/>
    <n v="7711"/>
    <n v="1935067"/>
    <n v="28.35"/>
    <n v="44490522"/>
    <n v="25688739"/>
    <n v="22626444"/>
    <n v="46.28"/>
    <n v="0.6"/>
    <n v="4875"/>
    <n v="1.84"/>
    <n v="70.180000000000007"/>
  </r>
  <r>
    <x v="5"/>
    <x v="1"/>
    <x v="1"/>
    <x v="955"/>
    <n v="26278005"/>
    <n v="18981"/>
    <x v="166"/>
    <n v="69653"/>
    <n v="975451"/>
    <n v="5956"/>
    <n v="13883"/>
    <n v="428"/>
    <n v="736109"/>
    <n v="29882"/>
    <n v="3628"/>
    <n v="1698428"/>
    <n v="29.63"/>
    <n v="46777589"/>
    <n v="37004240"/>
    <n v="24884531"/>
    <n v="98.93"/>
    <n v="8.69"/>
    <n v="3147"/>
    <n v="0.25"/>
    <n v="36.81"/>
  </r>
  <r>
    <x v="3"/>
    <x v="1"/>
    <x v="0"/>
    <x v="956"/>
    <n v="49707388"/>
    <n v="386"/>
    <x v="247"/>
    <n v="37929"/>
    <n v="632121"/>
    <n v="13928"/>
    <n v="31578"/>
    <n v="234"/>
    <n v="282687"/>
    <n v="318631"/>
    <n v="1565"/>
    <n v="229497"/>
    <n v="14.2"/>
    <n v="4736340"/>
    <n v="31093436"/>
    <n v="7213499"/>
    <n v="76.959999999999994"/>
    <n v="4.79"/>
    <n v="1325"/>
    <n v="2.73"/>
    <n v="67.13"/>
  </r>
  <r>
    <x v="3"/>
    <x v="4"/>
    <x v="4"/>
    <x v="957"/>
    <n v="40504651"/>
    <n v="10215"/>
    <x v="130"/>
    <n v="49291"/>
    <n v="119637"/>
    <n v="9721"/>
    <n v="10856"/>
    <n v="348"/>
    <n v="2919"/>
    <n v="148151"/>
    <n v="3667"/>
    <n v="642501"/>
    <n v="24.07"/>
    <n v="31021628"/>
    <n v="10855716"/>
    <n v="23525871"/>
    <n v="96.21"/>
    <n v="0.54"/>
    <n v="3123"/>
    <n v="4.62"/>
    <n v="83.17"/>
  </r>
  <r>
    <x v="4"/>
    <x v="0"/>
    <x v="4"/>
    <x v="958"/>
    <n v="31779524"/>
    <n v="19413"/>
    <x v="249"/>
    <n v="5042"/>
    <n v="908153"/>
    <n v="11157"/>
    <n v="5909"/>
    <n v="1779"/>
    <n v="712752"/>
    <n v="295990"/>
    <n v="6459"/>
    <n v="706339"/>
    <n v="22.1"/>
    <n v="47874971"/>
    <n v="31787299"/>
    <n v="23480745"/>
    <n v="77.959999999999994"/>
    <n v="4.32"/>
    <n v="1075"/>
    <n v="3.02"/>
    <n v="85.26"/>
  </r>
  <r>
    <x v="1"/>
    <x v="1"/>
    <x v="2"/>
    <x v="959"/>
    <n v="39319913"/>
    <n v="12818"/>
    <x v="132"/>
    <n v="63574"/>
    <n v="618508"/>
    <n v="35135"/>
    <n v="20512"/>
    <n v="1893"/>
    <n v="122331"/>
    <n v="261261"/>
    <n v="4096"/>
    <n v="1599329"/>
    <n v="8.92"/>
    <n v="43211205"/>
    <n v="28917622"/>
    <n v="8230362"/>
    <n v="87.49"/>
    <n v="2.27"/>
    <n v="2101"/>
    <n v="4.8600000000000003"/>
    <n v="17.22"/>
  </r>
  <r>
    <x v="6"/>
    <x v="1"/>
    <x v="3"/>
    <x v="960"/>
    <n v="14118723"/>
    <n v="4018"/>
    <x v="299"/>
    <n v="38201"/>
    <n v="27393"/>
    <n v="6696"/>
    <n v="575"/>
    <n v="1504"/>
    <n v="769476"/>
    <n v="66366"/>
    <n v="1019"/>
    <n v="1234548"/>
    <n v="1.76"/>
    <n v="22216450"/>
    <n v="35675342"/>
    <n v="8262900"/>
    <n v="70.650000000000006"/>
    <n v="6.43"/>
    <n v="3671"/>
    <n v="0.77"/>
    <n v="48.63"/>
  </r>
  <r>
    <x v="5"/>
    <x v="3"/>
    <x v="4"/>
    <x v="961"/>
    <n v="9027835"/>
    <n v="960"/>
    <x v="302"/>
    <n v="15016"/>
    <n v="582768"/>
    <n v="27862"/>
    <n v="38783"/>
    <n v="1862"/>
    <n v="626587"/>
    <n v="156"/>
    <n v="7928"/>
    <n v="585087"/>
    <n v="4.28"/>
    <n v="14385092"/>
    <n v="4938291"/>
    <n v="5695265"/>
    <n v="76.05"/>
    <n v="6.95"/>
    <n v="4613"/>
    <n v="2.88"/>
    <n v="73.39"/>
  </r>
  <r>
    <x v="1"/>
    <x v="3"/>
    <x v="3"/>
    <x v="962"/>
    <n v="19050271"/>
    <n v="18430"/>
    <x v="226"/>
    <n v="26022"/>
    <n v="904675"/>
    <n v="5190"/>
    <n v="41934"/>
    <n v="395"/>
    <n v="437200"/>
    <n v="293701"/>
    <n v="9476"/>
    <n v="511237"/>
    <n v="25.15"/>
    <n v="23784392"/>
    <n v="21866544"/>
    <n v="28397918"/>
    <n v="52.32"/>
    <n v="5.13"/>
    <n v="250"/>
    <n v="4.01"/>
    <n v="77.400000000000006"/>
  </r>
  <r>
    <x v="2"/>
    <x v="2"/>
    <x v="1"/>
    <x v="963"/>
    <n v="22470075"/>
    <n v="15682"/>
    <x v="162"/>
    <n v="28938"/>
    <n v="875722"/>
    <n v="4663"/>
    <n v="43252"/>
    <n v="1374"/>
    <n v="195441"/>
    <n v="395559"/>
    <n v="8254"/>
    <n v="621417"/>
    <n v="21.94"/>
    <n v="39069702"/>
    <n v="33754505"/>
    <n v="9589334"/>
    <n v="92.42"/>
    <n v="0.88"/>
    <n v="4453"/>
    <n v="2.68"/>
    <n v="78.47"/>
  </r>
  <r>
    <x v="5"/>
    <x v="4"/>
    <x v="3"/>
    <x v="964"/>
    <n v="43135177"/>
    <n v="16329"/>
    <x v="80"/>
    <n v="44678"/>
    <n v="480551"/>
    <n v="39830"/>
    <n v="9197"/>
    <n v="415"/>
    <n v="176782"/>
    <n v="448347"/>
    <n v="5965"/>
    <n v="1464122"/>
    <n v="19.93"/>
    <n v="14921915"/>
    <n v="26728309"/>
    <n v="26120902"/>
    <n v="82.5"/>
    <n v="6.73"/>
    <n v="3373"/>
    <n v="0.55000000000000004"/>
    <n v="22.82"/>
  </r>
  <r>
    <x v="5"/>
    <x v="2"/>
    <x v="1"/>
    <x v="965"/>
    <n v="34336286"/>
    <n v="3179"/>
    <x v="303"/>
    <n v="62720"/>
    <n v="891695"/>
    <n v="4331"/>
    <n v="7236"/>
    <n v="1909"/>
    <n v="844532"/>
    <n v="132873"/>
    <n v="2269"/>
    <n v="1713238"/>
    <n v="3.92"/>
    <n v="39905283"/>
    <n v="19843295"/>
    <n v="19661669"/>
    <n v="84.39"/>
    <n v="8.5"/>
    <n v="3408"/>
    <n v="2.96"/>
    <n v="19.25"/>
  </r>
  <r>
    <x v="3"/>
    <x v="3"/>
    <x v="0"/>
    <x v="966"/>
    <n v="40716746"/>
    <n v="5497"/>
    <x v="207"/>
    <n v="57805"/>
    <n v="665467"/>
    <n v="44648"/>
    <n v="42157"/>
    <n v="915"/>
    <n v="341141"/>
    <n v="187553"/>
    <n v="8835"/>
    <n v="1008470"/>
    <n v="19.2"/>
    <n v="12222182"/>
    <n v="17851414"/>
    <n v="29333439"/>
    <n v="67.3"/>
    <n v="7.34"/>
    <n v="3021"/>
    <n v="3.1"/>
    <n v="59"/>
  </r>
  <r>
    <x v="6"/>
    <x v="0"/>
    <x v="0"/>
    <x v="967"/>
    <n v="14784503"/>
    <n v="6179"/>
    <x v="220"/>
    <n v="2986"/>
    <n v="522397"/>
    <n v="28549"/>
    <n v="38668"/>
    <n v="1910"/>
    <n v="633399"/>
    <n v="181610"/>
    <n v="4721"/>
    <n v="370432"/>
    <n v="23.16"/>
    <n v="28735108"/>
    <n v="17308304"/>
    <n v="26539168"/>
    <n v="30.46"/>
    <n v="8.3800000000000008"/>
    <n v="635"/>
    <n v="3.67"/>
    <n v="74.11"/>
  </r>
  <r>
    <x v="6"/>
    <x v="3"/>
    <x v="2"/>
    <x v="968"/>
    <n v="48622025"/>
    <n v="5900"/>
    <x v="2"/>
    <n v="13161"/>
    <n v="793425"/>
    <n v="16246"/>
    <n v="45891"/>
    <n v="1074"/>
    <n v="138059"/>
    <n v="336083"/>
    <n v="8408"/>
    <n v="244761"/>
    <n v="25.82"/>
    <n v="41290766"/>
    <n v="7899859"/>
    <n v="2268299"/>
    <n v="3.56"/>
    <n v="2.4"/>
    <n v="3395"/>
    <n v="3.83"/>
    <n v="31.91"/>
  </r>
  <r>
    <x v="0"/>
    <x v="4"/>
    <x v="4"/>
    <x v="969"/>
    <n v="39884827"/>
    <n v="7496"/>
    <x v="270"/>
    <n v="21689"/>
    <n v="94650"/>
    <n v="25761"/>
    <n v="4321"/>
    <n v="80"/>
    <n v="847624"/>
    <n v="80736"/>
    <n v="195"/>
    <n v="991221"/>
    <n v="0.4"/>
    <n v="29582271"/>
    <n v="35212459"/>
    <n v="1142252"/>
    <n v="93.57"/>
    <n v="8.94"/>
    <n v="3904"/>
    <n v="3.88"/>
    <n v="10.47"/>
  </r>
  <r>
    <x v="0"/>
    <x v="3"/>
    <x v="2"/>
    <x v="970"/>
    <n v="26326151"/>
    <n v="11999"/>
    <x v="1"/>
    <n v="61924"/>
    <n v="759685"/>
    <n v="3262"/>
    <n v="44224"/>
    <n v="35"/>
    <n v="586900"/>
    <n v="369941"/>
    <n v="3273"/>
    <n v="243821"/>
    <n v="20.53"/>
    <n v="19660769"/>
    <n v="24364013"/>
    <n v="22548043"/>
    <n v="58.61"/>
    <n v="3.56"/>
    <n v="4654"/>
    <n v="3.35"/>
    <n v="71.67"/>
  </r>
  <r>
    <x v="0"/>
    <x v="4"/>
    <x v="1"/>
    <x v="971"/>
    <n v="18934369"/>
    <n v="8569"/>
    <x v="85"/>
    <n v="64745"/>
    <n v="519196"/>
    <n v="46088"/>
    <n v="41626"/>
    <n v="1090"/>
    <n v="239540"/>
    <n v="66583"/>
    <n v="5110"/>
    <n v="1062451"/>
    <n v="0.56999999999999995"/>
    <n v="28064268"/>
    <n v="35355349"/>
    <n v="20352530"/>
    <n v="29.81"/>
    <n v="0.63"/>
    <n v="3474"/>
    <n v="1.1599999999999999"/>
    <n v="29.97"/>
  </r>
  <r>
    <x v="0"/>
    <x v="4"/>
    <x v="2"/>
    <x v="972"/>
    <n v="43928295"/>
    <n v="364"/>
    <x v="51"/>
    <n v="2211"/>
    <n v="905027"/>
    <n v="7036"/>
    <n v="25699"/>
    <n v="640"/>
    <n v="803292"/>
    <n v="20605"/>
    <n v="7401"/>
    <n v="1601083"/>
    <n v="21.21"/>
    <n v="38149359"/>
    <n v="33833265"/>
    <n v="17670536"/>
    <n v="14.91"/>
    <n v="8.51"/>
    <n v="4150"/>
    <n v="2.08"/>
    <n v="16.64"/>
  </r>
  <r>
    <x v="2"/>
    <x v="4"/>
    <x v="3"/>
    <x v="973"/>
    <n v="49464527"/>
    <n v="11787"/>
    <x v="274"/>
    <n v="1229"/>
    <n v="53066"/>
    <n v="22322"/>
    <n v="6093"/>
    <n v="881"/>
    <n v="758239"/>
    <n v="399869"/>
    <n v="3212"/>
    <n v="823614"/>
    <n v="19.07"/>
    <n v="19947879"/>
    <n v="2135621"/>
    <n v="7922505"/>
    <n v="82.95"/>
    <n v="9.4499999999999993"/>
    <n v="409"/>
    <n v="3.9"/>
    <n v="14.77"/>
  </r>
  <r>
    <x v="2"/>
    <x v="4"/>
    <x v="1"/>
    <x v="974"/>
    <n v="7583610"/>
    <n v="1184"/>
    <x v="295"/>
    <n v="49542"/>
    <n v="374994"/>
    <n v="19131"/>
    <n v="12608"/>
    <n v="1690"/>
    <n v="746278"/>
    <n v="33625"/>
    <n v="2755"/>
    <n v="1785477"/>
    <n v="4.45"/>
    <n v="8422719"/>
    <n v="28800707"/>
    <n v="20564368"/>
    <n v="83.65"/>
    <n v="6.73"/>
    <n v="3719"/>
    <n v="4.7699999999999996"/>
    <n v="31.49"/>
  </r>
  <r>
    <x v="5"/>
    <x v="4"/>
    <x v="0"/>
    <x v="975"/>
    <n v="16911413"/>
    <n v="10988"/>
    <x v="298"/>
    <n v="15345"/>
    <n v="830374"/>
    <n v="4677"/>
    <n v="16950"/>
    <n v="756"/>
    <n v="345682"/>
    <n v="211574"/>
    <n v="1521"/>
    <n v="436485"/>
    <n v="22.98"/>
    <n v="44883174"/>
    <n v="5899198"/>
    <n v="19347505"/>
    <n v="81.45"/>
    <n v="2.7"/>
    <n v="4359"/>
    <n v="0.49"/>
    <n v="59.27"/>
  </r>
  <r>
    <x v="4"/>
    <x v="0"/>
    <x v="4"/>
    <x v="976"/>
    <n v="29821828"/>
    <n v="15638"/>
    <x v="272"/>
    <n v="32819"/>
    <n v="17138"/>
    <n v="7972"/>
    <n v="26890"/>
    <n v="622"/>
    <n v="507305"/>
    <n v="96108"/>
    <n v="5674"/>
    <n v="342925"/>
    <n v="2.0499999999999998"/>
    <n v="10692529"/>
    <n v="28566457"/>
    <n v="15903463"/>
    <n v="64.510000000000005"/>
    <n v="2.89"/>
    <n v="3527"/>
    <n v="2.72"/>
    <n v="35.840000000000003"/>
  </r>
  <r>
    <x v="3"/>
    <x v="2"/>
    <x v="1"/>
    <x v="977"/>
    <n v="49601978"/>
    <n v="8397"/>
    <x v="101"/>
    <n v="48779"/>
    <n v="119558"/>
    <n v="15329"/>
    <n v="2590"/>
    <n v="1703"/>
    <n v="265661"/>
    <n v="44448"/>
    <n v="1080"/>
    <n v="1056033"/>
    <n v="24.79"/>
    <n v="4676637"/>
    <n v="37475478"/>
    <n v="29160742"/>
    <n v="36.6"/>
    <n v="4.93"/>
    <n v="4708"/>
    <n v="1.63"/>
    <n v="2.0699999999999998"/>
  </r>
  <r>
    <x v="3"/>
    <x v="1"/>
    <x v="1"/>
    <x v="978"/>
    <n v="17756299"/>
    <n v="5642"/>
    <x v="68"/>
    <n v="66584"/>
    <n v="259480"/>
    <n v="37032"/>
    <n v="46622"/>
    <n v="1504"/>
    <n v="348905"/>
    <n v="202359"/>
    <n v="5623"/>
    <n v="925253"/>
    <n v="7.86"/>
    <n v="35094037"/>
    <n v="39820715"/>
    <n v="16768424"/>
    <n v="30.41"/>
    <n v="9.0299999999999994"/>
    <n v="2862"/>
    <n v="1.2"/>
    <n v="9.69"/>
  </r>
  <r>
    <x v="0"/>
    <x v="2"/>
    <x v="3"/>
    <x v="979"/>
    <n v="27060140"/>
    <n v="18158"/>
    <x v="69"/>
    <n v="20950"/>
    <n v="438743"/>
    <n v="35901"/>
    <n v="42331"/>
    <n v="467"/>
    <n v="191696"/>
    <n v="269517"/>
    <n v="721"/>
    <n v="1082640"/>
    <n v="20.67"/>
    <n v="19092376"/>
    <n v="7137900"/>
    <n v="19010571"/>
    <n v="0.86"/>
    <n v="1.92"/>
    <n v="94"/>
    <n v="2.58"/>
    <n v="29.05"/>
  </r>
  <r>
    <x v="5"/>
    <x v="4"/>
    <x v="4"/>
    <x v="980"/>
    <n v="2401740"/>
    <n v="19777"/>
    <x v="252"/>
    <n v="16173"/>
    <n v="272334"/>
    <n v="44380"/>
    <n v="9396"/>
    <n v="1165"/>
    <n v="772206"/>
    <n v="326480"/>
    <n v="1562"/>
    <n v="1976901"/>
    <n v="27.71"/>
    <n v="41757851"/>
    <n v="1530732"/>
    <n v="15861070"/>
    <n v="83.36"/>
    <n v="8.35"/>
    <n v="2800"/>
    <n v="3.07"/>
    <n v="65.97"/>
  </r>
  <r>
    <x v="1"/>
    <x v="0"/>
    <x v="0"/>
    <x v="981"/>
    <n v="39702825"/>
    <n v="17320"/>
    <x v="42"/>
    <n v="59032"/>
    <n v="879691"/>
    <n v="20493"/>
    <n v="19532"/>
    <n v="355"/>
    <n v="746158"/>
    <n v="206741"/>
    <n v="639"/>
    <n v="1689120"/>
    <n v="10.19"/>
    <n v="7359315"/>
    <n v="8857343"/>
    <n v="26731486"/>
    <n v="8.74"/>
    <n v="3.27"/>
    <n v="683"/>
    <n v="0.15"/>
    <n v="9.85"/>
  </r>
  <r>
    <x v="4"/>
    <x v="3"/>
    <x v="1"/>
    <x v="982"/>
    <n v="46705667"/>
    <n v="11047"/>
    <x v="51"/>
    <n v="29036"/>
    <n v="79422"/>
    <n v="18595"/>
    <n v="26234"/>
    <n v="708"/>
    <n v="444665"/>
    <n v="134707"/>
    <n v="4260"/>
    <n v="885729"/>
    <n v="15.09"/>
    <n v="8192934"/>
    <n v="15960619"/>
    <n v="11101198"/>
    <n v="63.08"/>
    <n v="8.18"/>
    <n v="1260"/>
    <n v="3.92"/>
    <n v="56.07"/>
  </r>
  <r>
    <x v="5"/>
    <x v="0"/>
    <x v="1"/>
    <x v="983"/>
    <n v="33291816"/>
    <n v="771"/>
    <x v="299"/>
    <n v="15292"/>
    <n v="712058"/>
    <n v="21923"/>
    <n v="14645"/>
    <n v="1494"/>
    <n v="714128"/>
    <n v="411993"/>
    <n v="5190"/>
    <n v="1808523"/>
    <n v="13.89"/>
    <n v="34834370"/>
    <n v="1597506"/>
    <n v="1499163"/>
    <n v="50.41"/>
    <n v="9.24"/>
    <n v="1799"/>
    <n v="4.12"/>
    <n v="11.99"/>
  </r>
  <r>
    <x v="4"/>
    <x v="4"/>
    <x v="3"/>
    <x v="984"/>
    <n v="31473687"/>
    <n v="9154"/>
    <x v="233"/>
    <n v="4052"/>
    <n v="607603"/>
    <n v="46926"/>
    <n v="681"/>
    <n v="1644"/>
    <n v="591108"/>
    <n v="214196"/>
    <n v="3736"/>
    <n v="1259303"/>
    <n v="4.7300000000000004"/>
    <n v="34165636"/>
    <n v="2621645"/>
    <n v="25903491"/>
    <n v="52.67"/>
    <n v="4.5599999999999996"/>
    <n v="3291"/>
    <n v="4.83"/>
    <n v="21.16"/>
  </r>
  <r>
    <x v="4"/>
    <x v="0"/>
    <x v="2"/>
    <x v="985"/>
    <n v="25030166"/>
    <n v="19791"/>
    <x v="48"/>
    <n v="45377"/>
    <n v="30086"/>
    <n v="9735"/>
    <n v="33555"/>
    <n v="1019"/>
    <n v="235567"/>
    <n v="107257"/>
    <n v="7746"/>
    <n v="1974744"/>
    <n v="17.71"/>
    <n v="5322432"/>
    <n v="28323994"/>
    <n v="7225206"/>
    <n v="92.67"/>
    <n v="3.97"/>
    <n v="2818"/>
    <n v="0.99"/>
    <n v="17.22"/>
  </r>
  <r>
    <x v="4"/>
    <x v="0"/>
    <x v="0"/>
    <x v="986"/>
    <n v="7895873"/>
    <n v="920"/>
    <x v="44"/>
    <n v="68838"/>
    <n v="935826"/>
    <n v="34457"/>
    <n v="26865"/>
    <n v="1911"/>
    <n v="737161"/>
    <n v="1008"/>
    <n v="89"/>
    <n v="161353"/>
    <n v="22.29"/>
    <n v="34593166"/>
    <n v="20801202"/>
    <n v="26493760"/>
    <n v="3.16"/>
    <n v="8.1199999999999992"/>
    <n v="643"/>
    <n v="3.01"/>
    <n v="6.72"/>
  </r>
  <r>
    <x v="5"/>
    <x v="4"/>
    <x v="4"/>
    <x v="987"/>
    <n v="38639378"/>
    <n v="6801"/>
    <x v="23"/>
    <n v="68819"/>
    <n v="126604"/>
    <n v="42531"/>
    <n v="35800"/>
    <n v="1614"/>
    <n v="818059"/>
    <n v="252399"/>
    <n v="1251"/>
    <n v="1831927"/>
    <n v="27.51"/>
    <n v="29398361"/>
    <n v="22767100"/>
    <n v="3973369"/>
    <n v="77.34"/>
    <n v="5.53"/>
    <n v="1474"/>
    <n v="2.19"/>
    <n v="67.13"/>
  </r>
  <r>
    <x v="0"/>
    <x v="0"/>
    <x v="1"/>
    <x v="988"/>
    <n v="44738976"/>
    <n v="16931"/>
    <x v="119"/>
    <n v="16620"/>
    <n v="888246"/>
    <n v="7727"/>
    <n v="46595"/>
    <n v="901"/>
    <n v="396912"/>
    <n v="201325"/>
    <n v="9294"/>
    <n v="1286463"/>
    <n v="25.52"/>
    <n v="26173816"/>
    <n v="21894715"/>
    <n v="12888043"/>
    <n v="5.21"/>
    <n v="7"/>
    <n v="1976"/>
    <n v="1.74"/>
    <n v="46.34"/>
  </r>
  <r>
    <x v="3"/>
    <x v="1"/>
    <x v="1"/>
    <x v="989"/>
    <n v="47778684"/>
    <n v="1806"/>
    <x v="200"/>
    <n v="31461"/>
    <n v="120324"/>
    <n v="7764"/>
    <n v="14270"/>
    <n v="672"/>
    <n v="337732"/>
    <n v="108452"/>
    <n v="4703"/>
    <n v="426037"/>
    <n v="15.3"/>
    <n v="10087912"/>
    <n v="31496189"/>
    <n v="4826616"/>
    <n v="3.82"/>
    <n v="6.42"/>
    <n v="906"/>
    <n v="2.87"/>
    <n v="83.11"/>
  </r>
  <r>
    <x v="3"/>
    <x v="1"/>
    <x v="0"/>
    <x v="990"/>
    <n v="45355106"/>
    <n v="1167"/>
    <x v="150"/>
    <n v="21750"/>
    <n v="477785"/>
    <n v="45771"/>
    <n v="1084"/>
    <n v="438"/>
    <n v="181286"/>
    <n v="96067"/>
    <n v="348"/>
    <n v="760129"/>
    <n v="21.57"/>
    <n v="29533934"/>
    <n v="23350320"/>
    <n v="28201057"/>
    <n v="42.98"/>
    <n v="1.95"/>
    <n v="601"/>
    <n v="3.93"/>
    <n v="9.89"/>
  </r>
  <r>
    <x v="0"/>
    <x v="0"/>
    <x v="2"/>
    <x v="991"/>
    <n v="8373491"/>
    <n v="11651"/>
    <x v="116"/>
    <n v="10472"/>
    <n v="741970"/>
    <n v="27599"/>
    <n v="42686"/>
    <n v="530"/>
    <n v="294565"/>
    <n v="351233"/>
    <n v="4052"/>
    <n v="943151"/>
    <n v="24.02"/>
    <n v="44828129"/>
    <n v="39254798"/>
    <n v="2606894"/>
    <n v="6.31"/>
    <n v="8.5299999999999994"/>
    <n v="4188"/>
    <n v="0.21"/>
    <n v="14.47"/>
  </r>
  <r>
    <x v="4"/>
    <x v="3"/>
    <x v="1"/>
    <x v="992"/>
    <n v="18817940"/>
    <n v="2878"/>
    <x v="296"/>
    <n v="58602"/>
    <n v="392065"/>
    <n v="818"/>
    <n v="9485"/>
    <n v="126"/>
    <n v="791678"/>
    <n v="35179"/>
    <n v="2941"/>
    <n v="1643782"/>
    <n v="14.8"/>
    <n v="43914483"/>
    <n v="5338578"/>
    <n v="8955216"/>
    <n v="78.91"/>
    <n v="2.36"/>
    <n v="2938"/>
    <n v="4.8499999999999996"/>
    <n v="30.65"/>
  </r>
  <r>
    <x v="1"/>
    <x v="4"/>
    <x v="0"/>
    <x v="993"/>
    <n v="6375293"/>
    <n v="15046"/>
    <x v="134"/>
    <n v="26523"/>
    <n v="4435"/>
    <n v="47207"/>
    <n v="12888"/>
    <n v="204"/>
    <n v="855467"/>
    <n v="212728"/>
    <n v="8437"/>
    <n v="1262633"/>
    <n v="3.46"/>
    <n v="49200708"/>
    <n v="8100424"/>
    <n v="21244965"/>
    <n v="52.96"/>
    <n v="9.36"/>
    <n v="4324"/>
    <n v="4.07"/>
    <n v="76.59"/>
  </r>
  <r>
    <x v="6"/>
    <x v="1"/>
    <x v="3"/>
    <x v="994"/>
    <n v="47005570"/>
    <n v="18081"/>
    <x v="221"/>
    <n v="31766"/>
    <n v="888937"/>
    <n v="47845"/>
    <n v="15130"/>
    <n v="28"/>
    <n v="65850"/>
    <n v="111989"/>
    <n v="271"/>
    <n v="477015"/>
    <n v="13.14"/>
    <n v="44345950"/>
    <n v="10412739"/>
    <n v="19080491"/>
    <n v="2.9"/>
    <n v="2.88"/>
    <n v="1530"/>
    <n v="3.78"/>
    <n v="30.58"/>
  </r>
  <r>
    <x v="5"/>
    <x v="3"/>
    <x v="2"/>
    <x v="995"/>
    <n v="29986438"/>
    <n v="13928"/>
    <x v="131"/>
    <n v="67060"/>
    <n v="840763"/>
    <n v="37289"/>
    <n v="23157"/>
    <n v="444"/>
    <n v="181917"/>
    <n v="262163"/>
    <n v="2030"/>
    <n v="877611"/>
    <n v="25.27"/>
    <n v="45089778"/>
    <n v="38705038"/>
    <n v="12806322"/>
    <n v="4.05"/>
    <n v="7.47"/>
    <n v="656"/>
    <n v="3.83"/>
    <n v="40.840000000000003"/>
  </r>
  <r>
    <x v="6"/>
    <x v="0"/>
    <x v="4"/>
    <x v="996"/>
    <n v="43118713"/>
    <n v="7042"/>
    <x v="150"/>
    <n v="10079"/>
    <n v="161014"/>
    <n v="33892"/>
    <n v="1996"/>
    <n v="965"/>
    <n v="241178"/>
    <n v="311567"/>
    <n v="7836"/>
    <n v="338088"/>
    <n v="17.899999999999999"/>
    <n v="25410124"/>
    <n v="21676210"/>
    <n v="19000928"/>
    <n v="61.27"/>
    <n v="3.2"/>
    <n v="721"/>
    <n v="2.0099999999999998"/>
    <n v="30.16"/>
  </r>
  <r>
    <x v="0"/>
    <x v="3"/>
    <x v="1"/>
    <x v="997"/>
    <n v="27554353"/>
    <n v="13828"/>
    <x v="304"/>
    <n v="9399"/>
    <n v="715995"/>
    <n v="5660"/>
    <n v="43603"/>
    <n v="1742"/>
    <n v="343775"/>
    <n v="438636"/>
    <n v="9657"/>
    <n v="1138718"/>
    <n v="21.73"/>
    <n v="28816554"/>
    <n v="15770356"/>
    <n v="26477435"/>
    <n v="80.61"/>
    <n v="3.52"/>
    <n v="3365"/>
    <n v="3.78"/>
    <n v="8.02"/>
  </r>
  <r>
    <x v="1"/>
    <x v="2"/>
    <x v="0"/>
    <x v="998"/>
    <n v="35148748"/>
    <n v="6821"/>
    <x v="5"/>
    <n v="61726"/>
    <n v="423275"/>
    <n v="29521"/>
    <n v="32440"/>
    <n v="463"/>
    <n v="22563"/>
    <n v="485414"/>
    <n v="9387"/>
    <n v="28603"/>
    <n v="5.56"/>
    <n v="24772096"/>
    <n v="24322944"/>
    <n v="18765268"/>
    <n v="43.78"/>
    <n v="3.45"/>
    <n v="66"/>
    <n v="2"/>
    <n v="93.94"/>
  </r>
  <r>
    <x v="5"/>
    <x v="1"/>
    <x v="3"/>
    <x v="999"/>
    <n v="4800915"/>
    <n v="16576"/>
    <x v="82"/>
    <n v="17532"/>
    <n v="713917"/>
    <n v="38409"/>
    <n v="41971"/>
    <n v="1303"/>
    <n v="641904"/>
    <n v="352153"/>
    <n v="7041"/>
    <n v="1882466"/>
    <n v="28.93"/>
    <n v="4345237"/>
    <n v="38955828"/>
    <n v="19186969"/>
    <n v="55.46"/>
    <n v="7.6"/>
    <n v="2923"/>
    <n v="4.5"/>
    <n v="54.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E9B747-D560-49C4-B697-18FB8FBB4DF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1" firstHeaderRow="1"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Items count="1">
    <i/>
  </colItems>
  <dataFields count="1">
    <dataField name="Sum of Population" fld="4"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4D63E-2CF6-4541-8860-D94DC11727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1" firstHeaderRow="1"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Items count="1">
    <i/>
  </colItems>
  <dataFields count="1">
    <dataField name="Average of Vaccination_Rate (%)" fld="2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CB077-7508-45A7-BF25-D2C042BAFAA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1" firstHeaderRow="1"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Items count="1">
    <i/>
  </colItems>
  <dataFields count="1">
    <dataField name="Average of Population_Density" fld="5" subtotal="average" baseField="0" baseItem="0"/>
  </dataFields>
  <formats count="1">
    <format dxfId="16">
      <pivotArea collapsedLevelsAreSubtotals="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1E451-CF23-449E-9947-10B1FDC9B319}"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F4" firstHeaderRow="0" firstDataRow="1" firstDataCol="0"/>
  <pivotFields count="28">
    <pivotField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dataField="1" showAll="0"/>
    <pivotField showAll="0"/>
    <pivotField dataField="1"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6">
    <i>
      <x/>
    </i>
    <i i="1">
      <x v="1"/>
    </i>
    <i i="2">
      <x v="2"/>
    </i>
    <i i="3">
      <x v="3"/>
    </i>
    <i i="4">
      <x v="4"/>
    </i>
    <i i="5">
      <x v="5"/>
    </i>
  </colItems>
  <dataFields count="6">
    <dataField name="Sum of Population" fld="4" baseField="0" baseItem="1" numFmtId="165"/>
    <dataField name="Sum of Total_Cases" fld="8" baseField="0" baseItem="0" numFmtId="166"/>
    <dataField name="Sum of Total_Deaths" fld="10" baseField="0" baseItem="0" numFmtId="166"/>
    <dataField name="Sum of Total_Recovered" fld="12" baseField="0" baseItem="0" numFmtId="166"/>
    <dataField name="Sum of Active_Cases" fld="13" baseField="0" baseItem="0" numFmtId="166"/>
    <dataField name="Average of Vaccination_Rate (%)" fld="20" subtotal="average" baseField="0" baseItem="4"/>
  </dataFields>
  <formats count="5">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CC4AB0-DB26-41AE-8AE3-0C65EBC47F94}" name="COVID Cases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8">
    <pivotField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7"/>
    <field x="26"/>
    <field x="25"/>
    <field x="3"/>
  </rowFields>
  <rowItems count="4">
    <i>
      <x v="1"/>
    </i>
    <i>
      <x v="2"/>
    </i>
    <i>
      <x v="3"/>
    </i>
    <i t="grand">
      <x/>
    </i>
  </rowItems>
  <colItems count="1">
    <i/>
  </colItems>
  <dataFields count="1">
    <dataField name="Sum of Total_Cases" fld="8" baseField="0" baseItem="0" numFmtId="166"/>
  </dataFields>
  <formats count="1">
    <format dxfId="6">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A94086-888C-411D-ABA2-89D46FD5FA8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28">
    <pivotField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27"/>
    <field x="26"/>
    <field x="25"/>
    <field x="3"/>
  </rowFields>
  <rowItems count="4">
    <i>
      <x v="1"/>
    </i>
    <i>
      <x v="2"/>
    </i>
    <i>
      <x v="3"/>
    </i>
    <i t="grand">
      <x/>
    </i>
  </rowItems>
  <colItems count="1">
    <i/>
  </colItems>
  <dataFields count="1">
    <dataField name="Sum of Vaccinated_Population" fld="17"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D5809F-BCD7-4885-920A-883B5BFC6EE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1" firstHeaderRow="1"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Items count="1">
    <i/>
  </colItems>
  <dataFields count="1">
    <dataField name="Sum of Total_Cases" fld="8" baseField="0" baseItem="0" numFmtId="166"/>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D1F72A-98A9-49A3-AD54-8EF43E64AF8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1" firstHeaderRow="1"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Items count="1">
    <i/>
  </colItems>
  <dataFields count="1">
    <dataField name="Sum of Total_Deaths" fld="10" baseField="0" baseItem="0" numFmtId="166"/>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1E165F-CBA0-429F-A1C6-23923623DAD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4" firstHeaderRow="0" firstDataRow="1" firstDataCol="0"/>
  <pivotFields count="28">
    <pivotField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Sum of Total_Recovered" fld="12" baseField="0" baseItem="0"/>
    <dataField name="Sum of Total_Deaths" fld="10" baseField="0" baseItem="0"/>
  </dataFields>
  <formats count="1">
    <format dxfId="2">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6338B-3BE5-4D92-9F1C-573E4FD817F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1" firstHeaderRow="0" firstDataRow="1" firstDataCol="1"/>
  <pivotFields count="28">
    <pivotField axis="axisRow" showAll="0">
      <items count="8">
        <item x="3"/>
        <item x="5"/>
        <item x="2"/>
        <item x="6"/>
        <item x="0"/>
        <item x="1"/>
        <item x="4"/>
        <item t="default"/>
      </items>
    </pivotField>
    <pivotField showAll="0">
      <items count="6">
        <item x="3"/>
        <item x="0"/>
        <item x="4"/>
        <item x="2"/>
        <item x="1"/>
        <item t="default"/>
      </items>
    </pivotField>
    <pivotField showAll="0">
      <items count="6">
        <item x="1"/>
        <item x="0"/>
        <item x="3"/>
        <item x="2"/>
        <item x="4"/>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306">
        <item x="241"/>
        <item x="287"/>
        <item x="75"/>
        <item x="46"/>
        <item x="190"/>
        <item x="182"/>
        <item x="28"/>
        <item x="266"/>
        <item x="9"/>
        <item x="188"/>
        <item x="34"/>
        <item x="4"/>
        <item x="149"/>
        <item x="235"/>
        <item x="278"/>
        <item x="3"/>
        <item x="116"/>
        <item x="74"/>
        <item x="232"/>
        <item x="59"/>
        <item x="27"/>
        <item x="107"/>
        <item x="284"/>
        <item x="53"/>
        <item x="212"/>
        <item x="126"/>
        <item x="260"/>
        <item x="236"/>
        <item x="60"/>
        <item x="198"/>
        <item x="181"/>
        <item x="103"/>
        <item x="143"/>
        <item x="259"/>
        <item x="13"/>
        <item x="94"/>
        <item x="85"/>
        <item x="179"/>
        <item x="21"/>
        <item x="253"/>
        <item x="233"/>
        <item x="184"/>
        <item x="298"/>
        <item x="291"/>
        <item x="239"/>
        <item x="162"/>
        <item x="63"/>
        <item x="204"/>
        <item x="148"/>
        <item x="8"/>
        <item x="61"/>
        <item x="93"/>
        <item x="150"/>
        <item x="109"/>
        <item x="16"/>
        <item x="248"/>
        <item x="147"/>
        <item x="57"/>
        <item x="255"/>
        <item x="82"/>
        <item x="209"/>
        <item x="258"/>
        <item x="222"/>
        <item x="282"/>
        <item x="300"/>
        <item x="125"/>
        <item x="76"/>
        <item x="106"/>
        <item x="231"/>
        <item x="129"/>
        <item x="118"/>
        <item x="281"/>
        <item x="153"/>
        <item x="32"/>
        <item x="11"/>
        <item x="211"/>
        <item x="66"/>
        <item x="166"/>
        <item x="119"/>
        <item x="142"/>
        <item x="114"/>
        <item x="55"/>
        <item x="38"/>
        <item x="205"/>
        <item x="81"/>
        <item x="195"/>
        <item x="45"/>
        <item x="15"/>
        <item x="256"/>
        <item x="88"/>
        <item x="217"/>
        <item x="225"/>
        <item x="111"/>
        <item x="90"/>
        <item x="132"/>
        <item x="180"/>
        <item x="169"/>
        <item x="51"/>
        <item x="247"/>
        <item x="40"/>
        <item x="171"/>
        <item x="101"/>
        <item x="220"/>
        <item x="202"/>
        <item x="199"/>
        <item x="52"/>
        <item x="33"/>
        <item x="115"/>
        <item x="122"/>
        <item x="139"/>
        <item x="144"/>
        <item x="120"/>
        <item x="123"/>
        <item x="263"/>
        <item x="301"/>
        <item x="58"/>
        <item x="141"/>
        <item x="165"/>
        <item x="17"/>
        <item x="131"/>
        <item x="26"/>
        <item x="19"/>
        <item x="146"/>
        <item x="193"/>
        <item x="100"/>
        <item x="78"/>
        <item x="135"/>
        <item x="206"/>
        <item x="77"/>
        <item x="269"/>
        <item x="138"/>
        <item x="197"/>
        <item x="161"/>
        <item x="83"/>
        <item x="92"/>
        <item x="6"/>
        <item x="201"/>
        <item x="54"/>
        <item x="65"/>
        <item x="10"/>
        <item x="267"/>
        <item x="117"/>
        <item x="104"/>
        <item x="127"/>
        <item x="218"/>
        <item x="67"/>
        <item x="134"/>
        <item x="121"/>
        <item x="128"/>
        <item x="167"/>
        <item x="294"/>
        <item x="288"/>
        <item x="89"/>
        <item x="262"/>
        <item x="2"/>
        <item x="154"/>
        <item x="268"/>
        <item x="1"/>
        <item x="283"/>
        <item x="168"/>
        <item x="286"/>
        <item x="280"/>
        <item x="30"/>
        <item x="87"/>
        <item x="163"/>
        <item x="194"/>
        <item x="95"/>
        <item x="5"/>
        <item x="273"/>
        <item x="152"/>
        <item x="285"/>
        <item x="137"/>
        <item x="24"/>
        <item x="110"/>
        <item x="170"/>
        <item x="187"/>
        <item x="70"/>
        <item x="251"/>
        <item x="189"/>
        <item x="192"/>
        <item x="62"/>
        <item x="91"/>
        <item x="237"/>
        <item x="177"/>
        <item x="234"/>
        <item x="14"/>
        <item x="39"/>
        <item x="257"/>
        <item x="219"/>
        <item x="49"/>
        <item x="229"/>
        <item x="160"/>
        <item x="159"/>
        <item x="261"/>
        <item x="210"/>
        <item x="277"/>
        <item x="270"/>
        <item x="243"/>
        <item x="99"/>
        <item x="96"/>
        <item x="68"/>
        <item x="242"/>
        <item x="36"/>
        <item x="175"/>
        <item x="145"/>
        <item x="23"/>
        <item x="207"/>
        <item x="133"/>
        <item x="178"/>
        <item x="80"/>
        <item x="228"/>
        <item x="208"/>
        <item x="254"/>
        <item x="264"/>
        <item x="48"/>
        <item x="196"/>
        <item x="245"/>
        <item x="47"/>
        <item x="296"/>
        <item x="275"/>
        <item x="12"/>
        <item x="174"/>
        <item x="155"/>
        <item x="86"/>
        <item x="108"/>
        <item x="44"/>
        <item x="293"/>
        <item x="230"/>
        <item x="20"/>
        <item x="69"/>
        <item x="73"/>
        <item x="203"/>
        <item x="279"/>
        <item x="226"/>
        <item x="227"/>
        <item x="22"/>
        <item x="31"/>
        <item x="223"/>
        <item x="244"/>
        <item x="176"/>
        <item x="191"/>
        <item x="215"/>
        <item x="289"/>
        <item x="18"/>
        <item x="274"/>
        <item x="124"/>
        <item x="130"/>
        <item x="252"/>
        <item x="140"/>
        <item x="72"/>
        <item x="98"/>
        <item x="102"/>
        <item x="29"/>
        <item x="84"/>
        <item x="56"/>
        <item x="304"/>
        <item x="7"/>
        <item x="164"/>
        <item x="41"/>
        <item x="221"/>
        <item x="302"/>
        <item x="299"/>
        <item x="295"/>
        <item x="216"/>
        <item x="185"/>
        <item x="200"/>
        <item x="249"/>
        <item x="151"/>
        <item x="297"/>
        <item x="43"/>
        <item x="157"/>
        <item x="224"/>
        <item x="79"/>
        <item x="240"/>
        <item x="71"/>
        <item x="292"/>
        <item x="0"/>
        <item x="265"/>
        <item x="158"/>
        <item x="238"/>
        <item x="290"/>
        <item x="186"/>
        <item x="25"/>
        <item x="97"/>
        <item x="37"/>
        <item x="112"/>
        <item x="271"/>
        <item x="303"/>
        <item x="42"/>
        <item x="276"/>
        <item x="272"/>
        <item x="246"/>
        <item x="156"/>
        <item x="35"/>
        <item x="173"/>
        <item x="64"/>
        <item x="136"/>
        <item x="183"/>
        <item x="172"/>
        <item x="105"/>
        <item x="113"/>
        <item x="214"/>
        <item x="50"/>
        <item x="213"/>
        <item x="2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8">
    <i>
      <x/>
    </i>
    <i>
      <x v="1"/>
    </i>
    <i>
      <x v="2"/>
    </i>
    <i>
      <x v="3"/>
    </i>
    <i>
      <x v="4"/>
    </i>
    <i>
      <x v="5"/>
    </i>
    <i>
      <x v="6"/>
    </i>
    <i t="grand">
      <x/>
    </i>
  </rowItems>
  <colFields count="1">
    <field x="-2"/>
  </colFields>
  <colItems count="2">
    <i>
      <x/>
    </i>
    <i i="1">
      <x v="1"/>
    </i>
  </colItems>
  <dataFields count="2">
    <dataField name="Average of GDP_Per_Capita" fld="7" subtotal="average" baseField="0" baseItem="0" numFmtId="3"/>
    <dataField name="Sum of Population" fld="4" baseField="0" baseItem="0" numFmtId="165"/>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C520E9-2869-4CE0-834E-248A4BFF4491}" sourceName="Country">
  <pivotTables>
    <pivotTable tabId="2" name="PivotTable1"/>
    <pivotTable tabId="4" name="COVID Cases Trend"/>
    <pivotTable tabId="11" name="PivotTable7"/>
    <pivotTable tabId="14" name="PivotTable1"/>
    <pivotTable tabId="16" name="PivotTable3"/>
    <pivotTable tabId="10" name="PivotTable6"/>
    <pivotTable tabId="8" name="PivotTable4"/>
    <pivotTable tabId="9" name="PivotTable5"/>
    <pivotTable tabId="15" name="PivotTable2"/>
    <pivotTable tabId="6" name="PivotTable3"/>
  </pivotTables>
  <data>
    <tabular pivotCacheId="1807723750">
      <items count="7">
        <i x="3" s="1"/>
        <i x="5" s="1"/>
        <i x="2" s="1"/>
        <i x="6"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Region" xr10:uid="{CAA4F646-9AD1-4ECC-B051-EBF3176AAD69}" sourceName="State_Region">
  <pivotTables>
    <pivotTable tabId="2" name="PivotTable1"/>
    <pivotTable tabId="4" name="COVID Cases Trend"/>
    <pivotTable tabId="11" name="PivotTable7"/>
    <pivotTable tabId="14" name="PivotTable1"/>
    <pivotTable tabId="16" name="PivotTable3"/>
    <pivotTable tabId="10" name="PivotTable6"/>
    <pivotTable tabId="8" name="PivotTable4"/>
    <pivotTable tabId="9" name="PivotTable5"/>
    <pivotTable tabId="15" name="PivotTable2"/>
    <pivotTable tabId="6" name="PivotTable3"/>
  </pivotTables>
  <data>
    <tabular pivotCacheId="1807723750">
      <items count="5">
        <i x="3" s="1"/>
        <i x="0"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FA82311-65E6-45C9-BF49-D6320E661466}" sourceName="City">
  <pivotTables>
    <pivotTable tabId="2" name="PivotTable1"/>
    <pivotTable tabId="4" name="COVID Cases Trend"/>
    <pivotTable tabId="11" name="PivotTable7"/>
    <pivotTable tabId="14" name="PivotTable1"/>
    <pivotTable tabId="16" name="PivotTable3"/>
    <pivotTable tabId="10" name="PivotTable6"/>
    <pivotTable tabId="8" name="PivotTable4"/>
    <pivotTable tabId="9" name="PivotTable5"/>
    <pivotTable tabId="15" name="PivotTable2"/>
    <pivotTable tabId="6" name="PivotTable3"/>
  </pivotTables>
  <data>
    <tabular pivotCacheId="1807723750">
      <items count="5">
        <i x="1"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an_Age" xr10:uid="{FF13E83C-2CA3-4D3E-8D2F-34097778F2FA}" sourceName="Median_Age">
  <pivotTables>
    <pivotTable tabId="2" name="PivotTable1"/>
    <pivotTable tabId="4" name="COVID Cases Trend"/>
    <pivotTable tabId="11" name="PivotTable7"/>
    <pivotTable tabId="14" name="PivotTable1"/>
    <pivotTable tabId="16" name="PivotTable3"/>
    <pivotTable tabId="10" name="PivotTable6"/>
    <pivotTable tabId="8" name="PivotTable4"/>
    <pivotTable tabId="9" name="PivotTable5"/>
    <pivotTable tabId="15" name="PivotTable2"/>
    <pivotTable tabId="6" name="PivotTable3"/>
  </pivotTables>
  <data>
    <tabular pivotCacheId="1807723750">
      <items count="305">
        <i x="241" s="1"/>
        <i x="287" s="1"/>
        <i x="75" s="1"/>
        <i x="46" s="1"/>
        <i x="190" s="1"/>
        <i x="182" s="1"/>
        <i x="28" s="1"/>
        <i x="266" s="1"/>
        <i x="9" s="1"/>
        <i x="188" s="1"/>
        <i x="34" s="1"/>
        <i x="4" s="1"/>
        <i x="149" s="1"/>
        <i x="235" s="1"/>
        <i x="278" s="1"/>
        <i x="3" s="1"/>
        <i x="116" s="1"/>
        <i x="74" s="1"/>
        <i x="232" s="1"/>
        <i x="59" s="1"/>
        <i x="27" s="1"/>
        <i x="107" s="1"/>
        <i x="284" s="1"/>
        <i x="53" s="1"/>
        <i x="212" s="1"/>
        <i x="126" s="1"/>
        <i x="260" s="1"/>
        <i x="236" s="1"/>
        <i x="60" s="1"/>
        <i x="198" s="1"/>
        <i x="181" s="1"/>
        <i x="103" s="1"/>
        <i x="143" s="1"/>
        <i x="259" s="1"/>
        <i x="13" s="1"/>
        <i x="94" s="1"/>
        <i x="85" s="1"/>
        <i x="179" s="1"/>
        <i x="21" s="1"/>
        <i x="253" s="1"/>
        <i x="233" s="1"/>
        <i x="184" s="1"/>
        <i x="298" s="1"/>
        <i x="291" s="1"/>
        <i x="239" s="1"/>
        <i x="162" s="1"/>
        <i x="63" s="1"/>
        <i x="204" s="1"/>
        <i x="148" s="1"/>
        <i x="8" s="1"/>
        <i x="61" s="1"/>
        <i x="93" s="1"/>
        <i x="150" s="1"/>
        <i x="109" s="1"/>
        <i x="16" s="1"/>
        <i x="248" s="1"/>
        <i x="147" s="1"/>
        <i x="57" s="1"/>
        <i x="255" s="1"/>
        <i x="82" s="1"/>
        <i x="209" s="1"/>
        <i x="258" s="1"/>
        <i x="222" s="1"/>
        <i x="282" s="1"/>
        <i x="300" s="1"/>
        <i x="125" s="1"/>
        <i x="76" s="1"/>
        <i x="106" s="1"/>
        <i x="231" s="1"/>
        <i x="129" s="1"/>
        <i x="118" s="1"/>
        <i x="281" s="1"/>
        <i x="153" s="1"/>
        <i x="32" s="1"/>
        <i x="11" s="1"/>
        <i x="211" s="1"/>
        <i x="66" s="1"/>
        <i x="166" s="1"/>
        <i x="119" s="1"/>
        <i x="142" s="1"/>
        <i x="114" s="1"/>
        <i x="55" s="1"/>
        <i x="38" s="1"/>
        <i x="205" s="1"/>
        <i x="81" s="1"/>
        <i x="195" s="1"/>
        <i x="45" s="1"/>
        <i x="15" s="1"/>
        <i x="256" s="1"/>
        <i x="88" s="1"/>
        <i x="217" s="1"/>
        <i x="225" s="1"/>
        <i x="111" s="1"/>
        <i x="90" s="1"/>
        <i x="132" s="1"/>
        <i x="180" s="1"/>
        <i x="169" s="1"/>
        <i x="51" s="1"/>
        <i x="247" s="1"/>
        <i x="40" s="1"/>
        <i x="171" s="1"/>
        <i x="101" s="1"/>
        <i x="220" s="1"/>
        <i x="202" s="1"/>
        <i x="199" s="1"/>
        <i x="52" s="1"/>
        <i x="33" s="1"/>
        <i x="115" s="1"/>
        <i x="122" s="1"/>
        <i x="139" s="1"/>
        <i x="144" s="1"/>
        <i x="120" s="1"/>
        <i x="123" s="1"/>
        <i x="263" s="1"/>
        <i x="301" s="1"/>
        <i x="58" s="1"/>
        <i x="141" s="1"/>
        <i x="165" s="1"/>
        <i x="17" s="1"/>
        <i x="131" s="1"/>
        <i x="26" s="1"/>
        <i x="19" s="1"/>
        <i x="146" s="1"/>
        <i x="193" s="1"/>
        <i x="100" s="1"/>
        <i x="78" s="1"/>
        <i x="135" s="1"/>
        <i x="206" s="1"/>
        <i x="77" s="1"/>
        <i x="269" s="1"/>
        <i x="138" s="1"/>
        <i x="197" s="1"/>
        <i x="161" s="1"/>
        <i x="83" s="1"/>
        <i x="92" s="1"/>
        <i x="6" s="1"/>
        <i x="201" s="1"/>
        <i x="54" s="1"/>
        <i x="65" s="1"/>
        <i x="10" s="1"/>
        <i x="267" s="1"/>
        <i x="117" s="1"/>
        <i x="104" s="1"/>
        <i x="127" s="1"/>
        <i x="218" s="1"/>
        <i x="67" s="1"/>
        <i x="134" s="1"/>
        <i x="121" s="1"/>
        <i x="128" s="1"/>
        <i x="167" s="1"/>
        <i x="294" s="1"/>
        <i x="288" s="1"/>
        <i x="89" s="1"/>
        <i x="262" s="1"/>
        <i x="2" s="1"/>
        <i x="154" s="1"/>
        <i x="268" s="1"/>
        <i x="1" s="1"/>
        <i x="283" s="1"/>
        <i x="168" s="1"/>
        <i x="286" s="1"/>
        <i x="280" s="1"/>
        <i x="30" s="1"/>
        <i x="87" s="1"/>
        <i x="163" s="1"/>
        <i x="194" s="1"/>
        <i x="95" s="1"/>
        <i x="5" s="1"/>
        <i x="273" s="1"/>
        <i x="152" s="1"/>
        <i x="285" s="1"/>
        <i x="137" s="1"/>
        <i x="24" s="1"/>
        <i x="110" s="1"/>
        <i x="170" s="1"/>
        <i x="187" s="1"/>
        <i x="70" s="1"/>
        <i x="251" s="1"/>
        <i x="189" s="1"/>
        <i x="192" s="1"/>
        <i x="62" s="1"/>
        <i x="91" s="1"/>
        <i x="237" s="1"/>
        <i x="177" s="1"/>
        <i x="234" s="1"/>
        <i x="14" s="1"/>
        <i x="39" s="1"/>
        <i x="257" s="1"/>
        <i x="219" s="1"/>
        <i x="49" s="1"/>
        <i x="229" s="1"/>
        <i x="160" s="1"/>
        <i x="159" s="1"/>
        <i x="261" s="1"/>
        <i x="210" s="1"/>
        <i x="277" s="1"/>
        <i x="270" s="1"/>
        <i x="243" s="1"/>
        <i x="99" s="1"/>
        <i x="96" s="1"/>
        <i x="68" s="1"/>
        <i x="242" s="1"/>
        <i x="36" s="1"/>
        <i x="175" s="1"/>
        <i x="145" s="1"/>
        <i x="23" s="1"/>
        <i x="207" s="1"/>
        <i x="133" s="1"/>
        <i x="178" s="1"/>
        <i x="80" s="1"/>
        <i x="228" s="1"/>
        <i x="208" s="1"/>
        <i x="254" s="1"/>
        <i x="264" s="1"/>
        <i x="48" s="1"/>
        <i x="196" s="1"/>
        <i x="245" s="1"/>
        <i x="47" s="1"/>
        <i x="296" s="1"/>
        <i x="275" s="1"/>
        <i x="12" s="1"/>
        <i x="174" s="1"/>
        <i x="155" s="1"/>
        <i x="86" s="1"/>
        <i x="108" s="1"/>
        <i x="44" s="1"/>
        <i x="293" s="1"/>
        <i x="230" s="1"/>
        <i x="20" s="1"/>
        <i x="69" s="1"/>
        <i x="73" s="1"/>
        <i x="203" s="1"/>
        <i x="279" s="1"/>
        <i x="226" s="1"/>
        <i x="227" s="1"/>
        <i x="22" s="1"/>
        <i x="31" s="1"/>
        <i x="223" s="1"/>
        <i x="244" s="1"/>
        <i x="176" s="1"/>
        <i x="191" s="1"/>
        <i x="215" s="1"/>
        <i x="289" s="1"/>
        <i x="18" s="1"/>
        <i x="274" s="1"/>
        <i x="124" s="1"/>
        <i x="130" s="1"/>
        <i x="252" s="1"/>
        <i x="140" s="1"/>
        <i x="72" s="1"/>
        <i x="98" s="1"/>
        <i x="102" s="1"/>
        <i x="29" s="1"/>
        <i x="84" s="1"/>
        <i x="56" s="1"/>
        <i x="304" s="1"/>
        <i x="7" s="1"/>
        <i x="164" s="1"/>
        <i x="41" s="1"/>
        <i x="221" s="1"/>
        <i x="302" s="1"/>
        <i x="299" s="1"/>
        <i x="295" s="1"/>
        <i x="216" s="1"/>
        <i x="185" s="1"/>
        <i x="200" s="1"/>
        <i x="249" s="1"/>
        <i x="151" s="1"/>
        <i x="297" s="1"/>
        <i x="43" s="1"/>
        <i x="157" s="1"/>
        <i x="224" s="1"/>
        <i x="79" s="1"/>
        <i x="240" s="1"/>
        <i x="71" s="1"/>
        <i x="292" s="1"/>
        <i x="0" s="1"/>
        <i x="265" s="1"/>
        <i x="158" s="1"/>
        <i x="238" s="1"/>
        <i x="290" s="1"/>
        <i x="186" s="1"/>
        <i x="25" s="1"/>
        <i x="97" s="1"/>
        <i x="37" s="1"/>
        <i x="112" s="1"/>
        <i x="271" s="1"/>
        <i x="303" s="1"/>
        <i x="42" s="1"/>
        <i x="276" s="1"/>
        <i x="272" s="1"/>
        <i x="246" s="1"/>
        <i x="156" s="1"/>
        <i x="35" s="1"/>
        <i x="173" s="1"/>
        <i x="64" s="1"/>
        <i x="136" s="1"/>
        <i x="183" s="1"/>
        <i x="172" s="1"/>
        <i x="105" s="1"/>
        <i x="113" s="1"/>
        <i x="214" s="1"/>
        <i x="50" s="1"/>
        <i x="213" s="1"/>
        <i x="25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3923969-A011-481F-A9AF-F53568C62A13}" cache="Slicer_Country" caption="Country" rowHeight="234950"/>
  <slicer name="State_Region" xr10:uid="{B2D78218-DED1-45AE-9B9A-134A5C8EACE2}" cache="Slicer_State_Region" caption="State_Region" rowHeight="234950"/>
  <slicer name="City" xr10:uid="{B8292A43-4092-4B5B-87FC-1AC2DAB87F41}" cache="Slicer_City" caption="City" rowHeight="234950"/>
  <slicer name="Median_Age" xr10:uid="{CBE73062-2F8A-4888-8EF1-E1C07A93026C}" cache="Slicer_Median_Age" caption="Median_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B87C525-797F-4BA7-A251-1618F5232EF3}" cache="Slicer_Country" caption="Country" style="SlicerStyleOther2" rowHeight="234950"/>
  <slicer name="State_Region 1" xr10:uid="{77D3EF71-5C4C-4CC1-9E8D-CDE7D440D77D}" cache="Slicer_State_Region" caption="State_Region" style="SlicerStyleLight5" rowHeight="234950"/>
  <slicer name="City 1" xr10:uid="{A84769A2-6655-462B-A515-461106A68D60}" cache="Slicer_City" caption="City" style="SlicerStyleLight4" rowHeight="234950"/>
  <slicer name="Median_Age 1" xr10:uid="{18BF5E13-13ED-4BA6-B0E8-EC09FC6F4769}" cache="Slicer_Median_Age" caption="Median_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1868A-0E40-4341-9432-39FAE0DBBEB7}" name="Table1" displayName="Table1" ref="A1:Y1001" totalsRowShown="0" headerRowDxfId="15" headerRowBorderDxfId="14" tableBorderDxfId="13">
  <autoFilter ref="A1:Y1001" xr:uid="{3EF1868A-0E40-4341-9432-39FAE0DBBEB7}"/>
  <tableColumns count="25">
    <tableColumn id="1" xr3:uid="{02A00E2A-12D0-4926-9308-A35D355424E9}" name="Country"/>
    <tableColumn id="2" xr3:uid="{C1DE2E16-07FF-4ECA-910C-DA96D9701698}" name="State_Region"/>
    <tableColumn id="3" xr3:uid="{F4F730B8-ECF5-4A89-ABFF-118009110AB2}" name="City"/>
    <tableColumn id="4" xr3:uid="{85532D3B-94EB-440A-A4C5-0773BB3EE8A4}" name="Date" dataDxfId="12"/>
    <tableColumn id="5" xr3:uid="{F547C7D7-4AD4-4004-A051-15EACF79868D}" name="Population"/>
    <tableColumn id="6" xr3:uid="{3AB39F30-29B3-4991-9943-E3414C238B3E}" name="Population_Density"/>
    <tableColumn id="7" xr3:uid="{6544B00E-8E1E-4BFB-8C78-123E1EA74F87}" name="Median_Age"/>
    <tableColumn id="8" xr3:uid="{412FE8DB-CD45-4451-A123-91192A53FFA9}" name="GDP_Per_Capita"/>
    <tableColumn id="9" xr3:uid="{EED4F35A-6662-40D0-902E-14A27DDC1B3D}" name="Total_Cases"/>
    <tableColumn id="10" xr3:uid="{41812BEC-A9CC-4E88-87D6-E029DC1EC5CF}" name="New_Cases"/>
    <tableColumn id="11" xr3:uid="{1628098D-935C-4D06-89E6-FDB2ED621252}" name="Total_Deaths"/>
    <tableColumn id="12" xr3:uid="{9F42212F-23D0-4B6E-8C5C-D7727C472762}" name="New_Deaths"/>
    <tableColumn id="13" xr3:uid="{74E01F16-B535-4CF7-A4C2-E728BF609997}" name="Total_Recovered"/>
    <tableColumn id="14" xr3:uid="{EFA8CA31-1AC3-4A7A-8400-3B9E1317595C}" name="Active_Cases"/>
    <tableColumn id="15" xr3:uid="{B3ECC4F4-C52E-4B12-BEF2-2EDCB4FFCE68}" name="Critical_Cases"/>
    <tableColumn id="16" xr3:uid="{8BE94117-DB6D-489A-A22F-CDD3A96BB001}" name="Tests_Conducted"/>
    <tableColumn id="17" xr3:uid="{A8609A81-7393-4BBA-9B91-ADDBEC9836F7}" name="Positivity_Rate (%)"/>
    <tableColumn id="18" xr3:uid="{3BA80126-9D57-4F1D-A0CF-0C7A382C2682}" name="Vaccinated_Population"/>
    <tableColumn id="19" xr3:uid="{079EB277-0281-4E25-987F-71B495A6D889}" name="Fully_Vaccinated"/>
    <tableColumn id="20" xr3:uid="{8E136E31-ABC1-4BB1-B1B5-30BC09084687}" name="Booster_Doses"/>
    <tableColumn id="21" xr3:uid="{AF1D5D9E-4354-4F04-8A5A-9443EA402819}" name="Vaccination_Rate (%)"/>
    <tableColumn id="22" xr3:uid="{BC77ED04-D977-426A-AF57-193C85DCA872}" name="Hospital_Beds_Per_1000"/>
    <tableColumn id="23" xr3:uid="{350DA698-8D35-4E52-B51F-EB87C626616F}" name="ICU_Beds"/>
    <tableColumn id="24" xr3:uid="{B93896F3-394A-4B45-9D01-50D5D7B70966}" name="Doctors_Per_1000"/>
    <tableColumn id="25" xr3:uid="{63CCFE25-09CD-436A-863A-1F0DBDAAA5B5}" name="Stringency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76319CD-2835-493A-96A1-5B835C17A184}" sourceName="Date">
  <pivotTables>
    <pivotTable tabId="2" name="PivotTable1"/>
    <pivotTable tabId="4" name="COVID Cases Trend"/>
    <pivotTable tabId="11" name="PivotTable7"/>
    <pivotTable tabId="14" name="PivotTable1"/>
    <pivotTable tabId="16" name="PivotTable3"/>
    <pivotTable tabId="10" name="PivotTable6"/>
    <pivotTable tabId="8" name="PivotTable4"/>
    <pivotTable tabId="9" name="PivotTable5"/>
    <pivotTable tabId="15" name="PivotTable2"/>
    <pivotTable tabId="6" name="PivotTable3"/>
  </pivotTables>
  <state minimalRefreshVersion="6" lastRefreshVersion="6" pivotCacheId="1807723750"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17614D-5567-4D8C-B740-C759D1267636}" cache="NativeTimeline_Date" caption="Date" level="2" selectionLevel="2" scrollPosition="2023-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84AFFE9-4F8B-4AF0-92C2-174A1F4E585D}" cache="NativeTimeline_Date" caption="Date" level="0" selectionLevel="0" scrollPosition="2021-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7350-0D28-4572-95A2-BDCDA032D755}">
  <dimension ref="A3:E14"/>
  <sheetViews>
    <sheetView workbookViewId="0">
      <selection activeCell="C17" sqref="C17"/>
    </sheetView>
  </sheetViews>
  <sheetFormatPr defaultRowHeight="14.4" x14ac:dyDescent="0.3"/>
  <cols>
    <col min="1" max="1" width="12.5546875" bestFit="1" customWidth="1"/>
    <col min="2" max="2" width="16.77734375" bestFit="1" customWidth="1"/>
    <col min="5" max="5" width="11" bestFit="1" customWidth="1"/>
  </cols>
  <sheetData>
    <row r="3" spans="1:5" x14ac:dyDescent="0.3">
      <c r="A3" s="4" t="s">
        <v>54</v>
      </c>
      <c r="B3" t="s">
        <v>42</v>
      </c>
    </row>
    <row r="4" spans="1:5" x14ac:dyDescent="0.3">
      <c r="A4" s="5" t="s">
        <v>28</v>
      </c>
      <c r="B4" s="8">
        <v>3448571892</v>
      </c>
      <c r="D4" s="5" t="s">
        <v>28</v>
      </c>
      <c r="E4" s="8">
        <f>GETPIVOTDATA("Population",$A$3,"Country","Brazil")</f>
        <v>3448571892</v>
      </c>
    </row>
    <row r="5" spans="1:5" x14ac:dyDescent="0.3">
      <c r="A5" s="5" t="s">
        <v>30</v>
      </c>
      <c r="B5" s="8">
        <v>3601053624</v>
      </c>
      <c r="D5" s="5" t="s">
        <v>30</v>
      </c>
      <c r="E5" s="8">
        <f>GETPIVOTDATA("Population",$A$3,"Country","France")</f>
        <v>3601053624</v>
      </c>
    </row>
    <row r="6" spans="1:5" x14ac:dyDescent="0.3">
      <c r="A6" s="5" t="s">
        <v>27</v>
      </c>
      <c r="B6" s="8">
        <v>3627068601</v>
      </c>
      <c r="D6" s="5" t="s">
        <v>27</v>
      </c>
      <c r="E6" s="8">
        <f>GETPIVOTDATA("Population",$A$3,"Country","Germany")</f>
        <v>3627068601</v>
      </c>
    </row>
    <row r="7" spans="1:5" x14ac:dyDescent="0.3">
      <c r="A7" s="5" t="s">
        <v>31</v>
      </c>
      <c r="B7" s="8">
        <v>3943176894</v>
      </c>
      <c r="D7" s="5" t="s">
        <v>31</v>
      </c>
      <c r="E7" s="8">
        <f>GETPIVOTDATA("Population",$A$3,"Country","India")</f>
        <v>3943176894</v>
      </c>
    </row>
    <row r="8" spans="1:5" x14ac:dyDescent="0.3">
      <c r="A8" s="5" t="s">
        <v>25</v>
      </c>
      <c r="B8" s="8">
        <v>3973264681</v>
      </c>
      <c r="D8" s="5" t="s">
        <v>25</v>
      </c>
      <c r="E8" s="8">
        <f>GETPIVOTDATA("Population",$A$3,"Country","Italy")</f>
        <v>3973264681</v>
      </c>
    </row>
    <row r="9" spans="1:5" x14ac:dyDescent="0.3">
      <c r="A9" s="5" t="s">
        <v>26</v>
      </c>
      <c r="B9" s="8">
        <v>3772454740</v>
      </c>
      <c r="D9" s="5" t="s">
        <v>26</v>
      </c>
      <c r="E9" s="8">
        <f>GETPIVOTDATA("Population",$A$3,"Country","UK")</f>
        <v>3772454740</v>
      </c>
    </row>
    <row r="10" spans="1:5" x14ac:dyDescent="0.3">
      <c r="A10" s="5" t="s">
        <v>29</v>
      </c>
      <c r="B10" s="8">
        <v>3649535615</v>
      </c>
      <c r="D10" s="5" t="s">
        <v>29</v>
      </c>
      <c r="E10" s="8">
        <f>GETPIVOTDATA("Population",$A$3,"Country","USA")</f>
        <v>3649535615</v>
      </c>
    </row>
    <row r="11" spans="1:5" x14ac:dyDescent="0.3">
      <c r="A11" s="5" t="s">
        <v>55</v>
      </c>
      <c r="B11" s="8">
        <v>26015126047</v>
      </c>
    </row>
    <row r="14" spans="1:5" x14ac:dyDescent="0.3">
      <c r="A14" s="5" t="s">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82CA-DD00-4C62-8275-DA013333E1AD}">
  <dimension ref="A3:B11"/>
  <sheetViews>
    <sheetView workbookViewId="0">
      <selection activeCell="K24" sqref="K24"/>
    </sheetView>
  </sheetViews>
  <sheetFormatPr defaultRowHeight="14.4" x14ac:dyDescent="0.3"/>
  <cols>
    <col min="1" max="1" width="12.5546875" bestFit="1" customWidth="1"/>
    <col min="2" max="2" width="28.88671875" bestFit="1" customWidth="1"/>
  </cols>
  <sheetData>
    <row r="3" spans="1:2" x14ac:dyDescent="0.3">
      <c r="A3" s="4" t="s">
        <v>54</v>
      </c>
      <c r="B3" t="s">
        <v>48</v>
      </c>
    </row>
    <row r="4" spans="1:2" x14ac:dyDescent="0.3">
      <c r="A4" s="5" t="s">
        <v>28</v>
      </c>
      <c r="B4">
        <v>54.255461538461525</v>
      </c>
    </row>
    <row r="5" spans="1:2" x14ac:dyDescent="0.3">
      <c r="A5" s="5" t="s">
        <v>30</v>
      </c>
      <c r="B5">
        <v>54.760370370370374</v>
      </c>
    </row>
    <row r="6" spans="1:2" x14ac:dyDescent="0.3">
      <c r="A6" s="5" t="s">
        <v>27</v>
      </c>
      <c r="B6">
        <v>48.37608108108109</v>
      </c>
    </row>
    <row r="7" spans="1:2" x14ac:dyDescent="0.3">
      <c r="A7" s="5" t="s">
        <v>31</v>
      </c>
      <c r="B7">
        <v>45.014551282051265</v>
      </c>
    </row>
    <row r="8" spans="1:2" x14ac:dyDescent="0.3">
      <c r="A8" s="5" t="s">
        <v>25</v>
      </c>
      <c r="B8">
        <v>51.841956521739128</v>
      </c>
    </row>
    <row r="9" spans="1:2" x14ac:dyDescent="0.3">
      <c r="A9" s="5" t="s">
        <v>26</v>
      </c>
      <c r="B9">
        <v>45.340384615384622</v>
      </c>
    </row>
    <row r="10" spans="1:2" x14ac:dyDescent="0.3">
      <c r="A10" s="5" t="s">
        <v>29</v>
      </c>
      <c r="B10">
        <v>49.241313868613148</v>
      </c>
    </row>
    <row r="11" spans="1:2" x14ac:dyDescent="0.3">
      <c r="A11" s="5" t="s">
        <v>55</v>
      </c>
      <c r="B11">
        <v>49.601140000000072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B63C-0815-410C-993C-E1DDAC78C3D1}">
  <dimension ref="A3:B11"/>
  <sheetViews>
    <sheetView workbookViewId="0">
      <selection activeCell="M13" sqref="M13"/>
    </sheetView>
  </sheetViews>
  <sheetFormatPr defaultRowHeight="14.4" x14ac:dyDescent="0.3"/>
  <cols>
    <col min="1" max="1" width="12.5546875" bestFit="1" customWidth="1"/>
    <col min="2" max="2" width="27.44140625" bestFit="1" customWidth="1"/>
  </cols>
  <sheetData>
    <row r="3" spans="1:2" x14ac:dyDescent="0.3">
      <c r="A3" s="4" t="s">
        <v>54</v>
      </c>
      <c r="B3" t="s">
        <v>64</v>
      </c>
    </row>
    <row r="4" spans="1:2" x14ac:dyDescent="0.3">
      <c r="A4" s="5" t="s">
        <v>28</v>
      </c>
      <c r="B4" s="10">
        <v>9612.6615384615379</v>
      </c>
    </row>
    <row r="5" spans="1:2" x14ac:dyDescent="0.3">
      <c r="A5" s="5" t="s">
        <v>30</v>
      </c>
      <c r="B5" s="10">
        <v>10435.896296296296</v>
      </c>
    </row>
    <row r="6" spans="1:2" x14ac:dyDescent="0.3">
      <c r="A6" s="5" t="s">
        <v>27</v>
      </c>
      <c r="B6" s="10">
        <v>10057.04054054054</v>
      </c>
    </row>
    <row r="7" spans="1:2" x14ac:dyDescent="0.3">
      <c r="A7" s="5" t="s">
        <v>31</v>
      </c>
      <c r="B7" s="10">
        <v>9683.1025641025644</v>
      </c>
    </row>
    <row r="8" spans="1:2" x14ac:dyDescent="0.3">
      <c r="A8" s="5" t="s">
        <v>25</v>
      </c>
      <c r="B8" s="10">
        <v>10929.63768115942</v>
      </c>
    </row>
    <row r="9" spans="1:2" x14ac:dyDescent="0.3">
      <c r="A9" s="5" t="s">
        <v>26</v>
      </c>
      <c r="B9" s="10">
        <v>10144.974358974359</v>
      </c>
    </row>
    <row r="10" spans="1:2" x14ac:dyDescent="0.3">
      <c r="A10" s="5" t="s">
        <v>29</v>
      </c>
      <c r="B10" s="10">
        <v>9739.6788321167878</v>
      </c>
    </row>
    <row r="11" spans="1:2" x14ac:dyDescent="0.3">
      <c r="A11" s="5" t="s">
        <v>55</v>
      </c>
      <c r="B11">
        <v>10082.74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opLeftCell="A2" workbookViewId="0">
      <selection activeCell="C9" sqref="C9"/>
    </sheetView>
  </sheetViews>
  <sheetFormatPr defaultRowHeight="14.4" x14ac:dyDescent="0.3"/>
  <cols>
    <col min="1" max="1" width="16.88671875" customWidth="1"/>
    <col min="2" max="2" width="14" customWidth="1"/>
    <col min="3" max="3" width="14.109375" customWidth="1"/>
    <col min="4" max="4" width="19.109375" customWidth="1"/>
    <col min="5" max="5" width="13" customWidth="1"/>
    <col min="6" max="6" width="19.6640625" customWidth="1"/>
    <col min="7" max="7" width="13.5546875" customWidth="1"/>
    <col min="8" max="8" width="18.77734375" customWidth="1"/>
    <col min="9" max="9" width="14.33203125" customWidth="1"/>
    <col min="10" max="10" width="13.44140625" customWidth="1"/>
    <col min="11" max="11" width="13.88671875" customWidth="1"/>
    <col min="12" max="12" width="14" customWidth="1"/>
    <col min="13" max="13" width="17" customWidth="1"/>
    <col min="14" max="14" width="13.77734375" customWidth="1"/>
    <col min="15" max="15" width="14.21875" customWidth="1"/>
    <col min="16" max="16" width="17.33203125" customWidth="1"/>
    <col min="17" max="17" width="21.6640625" customWidth="1"/>
    <col min="18" max="18" width="22.44140625" customWidth="1"/>
    <col min="19" max="19" width="21.21875" customWidth="1"/>
    <col min="20" max="20" width="18.5546875" customWidth="1"/>
    <col min="21" max="21" width="20.77734375" customWidth="1"/>
    <col min="22" max="22" width="23.44140625" customWidth="1"/>
    <col min="23" max="23" width="17.44140625" customWidth="1"/>
    <col min="24" max="24" width="18.109375" customWidth="1"/>
    <col min="25" max="25" width="17.77734375" customWidth="1"/>
  </cols>
  <sheetData>
    <row r="1" spans="1:2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3">
      <c r="A2" t="s">
        <v>25</v>
      </c>
      <c r="B2" t="s">
        <v>32</v>
      </c>
      <c r="C2" t="s">
        <v>37</v>
      </c>
      <c r="D2" s="1">
        <v>44197</v>
      </c>
      <c r="E2">
        <v>23247442</v>
      </c>
      <c r="F2">
        <v>5006</v>
      </c>
      <c r="G2">
        <v>47.1</v>
      </c>
      <c r="H2">
        <v>35980</v>
      </c>
      <c r="I2">
        <v>910121</v>
      </c>
      <c r="J2">
        <v>47921</v>
      </c>
      <c r="K2">
        <v>34480</v>
      </c>
      <c r="L2">
        <v>183</v>
      </c>
      <c r="M2">
        <v>101091</v>
      </c>
      <c r="N2">
        <v>465052</v>
      </c>
      <c r="O2">
        <v>1885</v>
      </c>
      <c r="P2">
        <v>710687</v>
      </c>
      <c r="Q2">
        <v>22.95</v>
      </c>
      <c r="R2">
        <v>16660146</v>
      </c>
      <c r="S2">
        <v>37117501</v>
      </c>
      <c r="T2">
        <v>8282270</v>
      </c>
      <c r="U2">
        <v>21.5</v>
      </c>
      <c r="V2">
        <v>8.1</v>
      </c>
      <c r="W2">
        <v>4018</v>
      </c>
      <c r="X2">
        <v>3.93</v>
      </c>
      <c r="Y2">
        <v>17.72</v>
      </c>
    </row>
    <row r="3" spans="1:25" x14ac:dyDescent="0.3">
      <c r="A3" t="s">
        <v>26</v>
      </c>
      <c r="B3" t="s">
        <v>33</v>
      </c>
      <c r="C3" t="s">
        <v>38</v>
      </c>
      <c r="D3" s="1">
        <v>44198</v>
      </c>
      <c r="E3">
        <v>16650865</v>
      </c>
      <c r="F3">
        <v>10245</v>
      </c>
      <c r="G3">
        <v>34.299999999999997</v>
      </c>
      <c r="H3">
        <v>23504</v>
      </c>
      <c r="I3">
        <v>476573</v>
      </c>
      <c r="J3">
        <v>32826</v>
      </c>
      <c r="K3">
        <v>18395</v>
      </c>
      <c r="L3">
        <v>1046</v>
      </c>
      <c r="M3">
        <v>588541</v>
      </c>
      <c r="N3">
        <v>497016</v>
      </c>
      <c r="O3">
        <v>8667</v>
      </c>
      <c r="P3">
        <v>649782</v>
      </c>
      <c r="Q3">
        <v>14.11</v>
      </c>
      <c r="R3">
        <v>10269127</v>
      </c>
      <c r="S3">
        <v>25830553</v>
      </c>
      <c r="T3">
        <v>24814353</v>
      </c>
      <c r="U3">
        <v>3.72</v>
      </c>
      <c r="V3">
        <v>6.3</v>
      </c>
      <c r="W3">
        <v>251</v>
      </c>
      <c r="X3">
        <v>4.78</v>
      </c>
      <c r="Y3">
        <v>29.23</v>
      </c>
    </row>
    <row r="4" spans="1:25" x14ac:dyDescent="0.3">
      <c r="A4" t="s">
        <v>27</v>
      </c>
      <c r="B4" t="s">
        <v>34</v>
      </c>
      <c r="C4" t="s">
        <v>37</v>
      </c>
      <c r="D4" s="1">
        <v>44199</v>
      </c>
      <c r="E4">
        <v>19408234</v>
      </c>
      <c r="F4">
        <v>17126</v>
      </c>
      <c r="G4">
        <v>34</v>
      </c>
      <c r="H4">
        <v>55970</v>
      </c>
      <c r="I4">
        <v>44162</v>
      </c>
      <c r="J4">
        <v>30297</v>
      </c>
      <c r="K4">
        <v>23306</v>
      </c>
      <c r="L4">
        <v>1809</v>
      </c>
      <c r="M4">
        <v>503977</v>
      </c>
      <c r="N4">
        <v>351157</v>
      </c>
      <c r="O4">
        <v>1049</v>
      </c>
      <c r="P4">
        <v>1689678</v>
      </c>
      <c r="Q4">
        <v>9.52</v>
      </c>
      <c r="R4">
        <v>13946875</v>
      </c>
      <c r="S4">
        <v>16584465</v>
      </c>
      <c r="T4">
        <v>27297547</v>
      </c>
      <c r="U4">
        <v>14.08</v>
      </c>
      <c r="V4">
        <v>2.64</v>
      </c>
      <c r="W4">
        <v>3142</v>
      </c>
      <c r="X4">
        <v>2.94</v>
      </c>
      <c r="Y4">
        <v>55.13</v>
      </c>
    </row>
    <row r="5" spans="1:25" x14ac:dyDescent="0.3">
      <c r="A5" t="s">
        <v>25</v>
      </c>
      <c r="B5" t="s">
        <v>35</v>
      </c>
      <c r="C5" t="s">
        <v>38</v>
      </c>
      <c r="D5" s="1">
        <v>44200</v>
      </c>
      <c r="E5">
        <v>45694168</v>
      </c>
      <c r="F5">
        <v>19596</v>
      </c>
      <c r="G5">
        <v>19.600000000000001</v>
      </c>
      <c r="H5">
        <v>17766</v>
      </c>
      <c r="I5">
        <v>922253</v>
      </c>
      <c r="J5">
        <v>43890</v>
      </c>
      <c r="K5">
        <v>23626</v>
      </c>
      <c r="L5">
        <v>128</v>
      </c>
      <c r="M5">
        <v>585308</v>
      </c>
      <c r="N5">
        <v>341190</v>
      </c>
      <c r="O5">
        <v>4129</v>
      </c>
      <c r="P5">
        <v>251139</v>
      </c>
      <c r="Q5">
        <v>18.68</v>
      </c>
      <c r="R5">
        <v>36028859</v>
      </c>
      <c r="S5">
        <v>32450184</v>
      </c>
      <c r="T5">
        <v>4417327</v>
      </c>
      <c r="U5">
        <v>91.73</v>
      </c>
      <c r="V5">
        <v>6.32</v>
      </c>
      <c r="W5">
        <v>3215</v>
      </c>
      <c r="X5">
        <v>3.44</v>
      </c>
      <c r="Y5">
        <v>31.92</v>
      </c>
    </row>
    <row r="6" spans="1:25" x14ac:dyDescent="0.3">
      <c r="A6" t="s">
        <v>28</v>
      </c>
      <c r="B6" t="s">
        <v>35</v>
      </c>
      <c r="C6" t="s">
        <v>37</v>
      </c>
      <c r="D6" s="1">
        <v>44201</v>
      </c>
      <c r="E6">
        <v>37543861</v>
      </c>
      <c r="F6">
        <v>1155</v>
      </c>
      <c r="G6">
        <v>19.100000000000001</v>
      </c>
      <c r="H6">
        <v>12695</v>
      </c>
      <c r="I6">
        <v>274497</v>
      </c>
      <c r="J6">
        <v>21322</v>
      </c>
      <c r="K6">
        <v>26392</v>
      </c>
      <c r="L6">
        <v>290</v>
      </c>
      <c r="M6">
        <v>266652</v>
      </c>
      <c r="N6">
        <v>177143</v>
      </c>
      <c r="O6">
        <v>1161</v>
      </c>
      <c r="P6">
        <v>1966760</v>
      </c>
      <c r="Q6">
        <v>19.579999999999998</v>
      </c>
      <c r="R6">
        <v>9961174</v>
      </c>
      <c r="S6">
        <v>9512840</v>
      </c>
      <c r="T6">
        <v>27094112</v>
      </c>
      <c r="U6">
        <v>45.94</v>
      </c>
      <c r="V6">
        <v>6.47</v>
      </c>
      <c r="W6">
        <v>3129</v>
      </c>
      <c r="X6">
        <v>1.75</v>
      </c>
      <c r="Y6">
        <v>42.42</v>
      </c>
    </row>
    <row r="7" spans="1:25" x14ac:dyDescent="0.3">
      <c r="A7" t="s">
        <v>27</v>
      </c>
      <c r="B7" t="s">
        <v>36</v>
      </c>
      <c r="C7" t="s">
        <v>39</v>
      </c>
      <c r="D7" s="1">
        <v>44202</v>
      </c>
      <c r="E7">
        <v>16366128</v>
      </c>
      <c r="F7">
        <v>19442</v>
      </c>
      <c r="G7">
        <v>35.6</v>
      </c>
      <c r="H7">
        <v>18796</v>
      </c>
      <c r="I7">
        <v>113313</v>
      </c>
      <c r="J7">
        <v>35739</v>
      </c>
      <c r="K7">
        <v>11149</v>
      </c>
      <c r="L7">
        <v>1855</v>
      </c>
      <c r="M7">
        <v>438180</v>
      </c>
      <c r="N7">
        <v>134770</v>
      </c>
      <c r="O7">
        <v>815</v>
      </c>
      <c r="P7">
        <v>501228</v>
      </c>
      <c r="Q7">
        <v>23.08</v>
      </c>
      <c r="R7">
        <v>5009486</v>
      </c>
      <c r="S7">
        <v>36875370</v>
      </c>
      <c r="T7">
        <v>23808250</v>
      </c>
      <c r="U7">
        <v>7.77</v>
      </c>
      <c r="V7">
        <v>7.47</v>
      </c>
      <c r="W7">
        <v>4617</v>
      </c>
      <c r="X7">
        <v>1.97</v>
      </c>
      <c r="Y7">
        <v>49.24</v>
      </c>
    </row>
    <row r="8" spans="1:25" x14ac:dyDescent="0.3">
      <c r="A8" t="s">
        <v>27</v>
      </c>
      <c r="B8" t="s">
        <v>32</v>
      </c>
      <c r="C8" t="s">
        <v>39</v>
      </c>
      <c r="D8" s="1">
        <v>44203</v>
      </c>
      <c r="E8">
        <v>40532875</v>
      </c>
      <c r="F8">
        <v>18595</v>
      </c>
      <c r="G8">
        <v>32</v>
      </c>
      <c r="H8">
        <v>43543</v>
      </c>
      <c r="I8">
        <v>29477</v>
      </c>
      <c r="J8">
        <v>9719</v>
      </c>
      <c r="K8">
        <v>32070</v>
      </c>
      <c r="L8">
        <v>500</v>
      </c>
      <c r="M8">
        <v>370052</v>
      </c>
      <c r="N8">
        <v>10664</v>
      </c>
      <c r="O8">
        <v>3766</v>
      </c>
      <c r="P8">
        <v>1715793</v>
      </c>
      <c r="Q8">
        <v>4.7</v>
      </c>
      <c r="R8">
        <v>3368410</v>
      </c>
      <c r="S8">
        <v>15913132</v>
      </c>
      <c r="T8">
        <v>19443694</v>
      </c>
      <c r="U8">
        <v>95.97</v>
      </c>
      <c r="V8">
        <v>6.4</v>
      </c>
      <c r="W8">
        <v>2152</v>
      </c>
      <c r="X8">
        <v>3.7</v>
      </c>
      <c r="Y8">
        <v>85.64</v>
      </c>
    </row>
    <row r="9" spans="1:25" x14ac:dyDescent="0.3">
      <c r="A9" t="s">
        <v>25</v>
      </c>
      <c r="B9" t="s">
        <v>34</v>
      </c>
      <c r="C9" t="s">
        <v>39</v>
      </c>
      <c r="D9" s="1">
        <v>44204</v>
      </c>
      <c r="E9">
        <v>11397034</v>
      </c>
      <c r="F9">
        <v>15467</v>
      </c>
      <c r="G9">
        <v>44.9</v>
      </c>
      <c r="H9">
        <v>15559</v>
      </c>
      <c r="I9">
        <v>680930</v>
      </c>
      <c r="J9">
        <v>14017</v>
      </c>
      <c r="K9">
        <v>22429</v>
      </c>
      <c r="L9">
        <v>185</v>
      </c>
      <c r="M9">
        <v>263140</v>
      </c>
      <c r="N9">
        <v>242224</v>
      </c>
      <c r="O9">
        <v>8945</v>
      </c>
      <c r="P9">
        <v>1747197</v>
      </c>
      <c r="Q9">
        <v>22.25</v>
      </c>
      <c r="R9">
        <v>934814</v>
      </c>
      <c r="S9">
        <v>11471353</v>
      </c>
      <c r="T9">
        <v>27231750</v>
      </c>
      <c r="U9">
        <v>87.9</v>
      </c>
      <c r="V9">
        <v>9.7100000000000009</v>
      </c>
      <c r="W9">
        <v>960</v>
      </c>
      <c r="X9">
        <v>4.6500000000000004</v>
      </c>
      <c r="Y9">
        <v>52.32</v>
      </c>
    </row>
    <row r="10" spans="1:25" x14ac:dyDescent="0.3">
      <c r="A10" t="s">
        <v>29</v>
      </c>
      <c r="B10" t="s">
        <v>32</v>
      </c>
      <c r="C10" t="s">
        <v>40</v>
      </c>
      <c r="D10" s="1">
        <v>44205</v>
      </c>
      <c r="E10">
        <v>44974126</v>
      </c>
      <c r="F10">
        <v>14238</v>
      </c>
      <c r="G10">
        <v>23.1</v>
      </c>
      <c r="H10">
        <v>34139</v>
      </c>
      <c r="I10">
        <v>87373</v>
      </c>
      <c r="J10">
        <v>8314</v>
      </c>
      <c r="K10">
        <v>27795</v>
      </c>
      <c r="L10">
        <v>478</v>
      </c>
      <c r="M10">
        <v>362411</v>
      </c>
      <c r="N10">
        <v>227606</v>
      </c>
      <c r="O10">
        <v>4661</v>
      </c>
      <c r="P10">
        <v>861020</v>
      </c>
      <c r="Q10">
        <v>17.98</v>
      </c>
      <c r="R10">
        <v>4932206</v>
      </c>
      <c r="S10">
        <v>35711373</v>
      </c>
      <c r="T10">
        <v>7937115</v>
      </c>
      <c r="U10">
        <v>75.47</v>
      </c>
      <c r="V10">
        <v>2.37</v>
      </c>
      <c r="W10">
        <v>1621</v>
      </c>
      <c r="X10">
        <v>3.18</v>
      </c>
      <c r="Y10">
        <v>36.25</v>
      </c>
    </row>
    <row r="11" spans="1:25" x14ac:dyDescent="0.3">
      <c r="A11" t="s">
        <v>28</v>
      </c>
      <c r="B11" t="s">
        <v>34</v>
      </c>
      <c r="C11" t="s">
        <v>38</v>
      </c>
      <c r="D11" s="1">
        <v>44206</v>
      </c>
      <c r="E11">
        <v>17571962</v>
      </c>
      <c r="F11">
        <v>12652</v>
      </c>
      <c r="G11">
        <v>18.8</v>
      </c>
      <c r="H11">
        <v>9802</v>
      </c>
      <c r="I11">
        <v>929941</v>
      </c>
      <c r="J11">
        <v>28295</v>
      </c>
      <c r="K11">
        <v>15712</v>
      </c>
      <c r="L11">
        <v>1594</v>
      </c>
      <c r="M11">
        <v>285856</v>
      </c>
      <c r="N11">
        <v>311969</v>
      </c>
      <c r="O11">
        <v>8653</v>
      </c>
      <c r="P11">
        <v>935499</v>
      </c>
      <c r="Q11">
        <v>1.73</v>
      </c>
      <c r="R11">
        <v>32449991</v>
      </c>
      <c r="S11">
        <v>3739941</v>
      </c>
      <c r="T11">
        <v>7123056</v>
      </c>
      <c r="U11">
        <v>93.35</v>
      </c>
      <c r="V11">
        <v>9.5399999999999991</v>
      </c>
      <c r="W11">
        <v>3498</v>
      </c>
      <c r="X11">
        <v>3.97</v>
      </c>
      <c r="Y11">
        <v>24.77</v>
      </c>
    </row>
    <row r="12" spans="1:25" x14ac:dyDescent="0.3">
      <c r="A12" t="s">
        <v>25</v>
      </c>
      <c r="B12" t="s">
        <v>36</v>
      </c>
      <c r="C12" t="s">
        <v>39</v>
      </c>
      <c r="D12" s="1">
        <v>44207</v>
      </c>
      <c r="E12">
        <v>39765186</v>
      </c>
      <c r="F12">
        <v>9306</v>
      </c>
      <c r="G12">
        <v>32.4</v>
      </c>
      <c r="H12">
        <v>41205</v>
      </c>
      <c r="I12">
        <v>694464</v>
      </c>
      <c r="J12">
        <v>9628</v>
      </c>
      <c r="K12">
        <v>29227</v>
      </c>
      <c r="L12">
        <v>491</v>
      </c>
      <c r="M12">
        <v>807569</v>
      </c>
      <c r="N12">
        <v>86234</v>
      </c>
      <c r="O12">
        <v>3239</v>
      </c>
      <c r="P12">
        <v>1296085</v>
      </c>
      <c r="Q12">
        <v>23.32</v>
      </c>
      <c r="R12">
        <v>25472313</v>
      </c>
      <c r="S12">
        <v>9917886</v>
      </c>
      <c r="T12">
        <v>17510658</v>
      </c>
      <c r="U12">
        <v>22.01</v>
      </c>
      <c r="V12">
        <v>5.61</v>
      </c>
      <c r="W12">
        <v>2209</v>
      </c>
      <c r="X12">
        <v>0.94</v>
      </c>
      <c r="Y12">
        <v>40.869999999999997</v>
      </c>
    </row>
    <row r="13" spans="1:25" x14ac:dyDescent="0.3">
      <c r="A13" t="s">
        <v>28</v>
      </c>
      <c r="B13" t="s">
        <v>36</v>
      </c>
      <c r="C13" t="s">
        <v>40</v>
      </c>
      <c r="D13" s="1">
        <v>44208</v>
      </c>
      <c r="E13">
        <v>5932019</v>
      </c>
      <c r="F13">
        <v>14262</v>
      </c>
      <c r="G13">
        <v>25.6</v>
      </c>
      <c r="H13">
        <v>35159</v>
      </c>
      <c r="I13">
        <v>719730</v>
      </c>
      <c r="J13">
        <v>42122</v>
      </c>
      <c r="K13">
        <v>39301</v>
      </c>
      <c r="L13">
        <v>512</v>
      </c>
      <c r="M13">
        <v>832159</v>
      </c>
      <c r="N13">
        <v>106040</v>
      </c>
      <c r="O13">
        <v>8272</v>
      </c>
      <c r="P13">
        <v>14580</v>
      </c>
      <c r="Q13">
        <v>11.49</v>
      </c>
      <c r="R13">
        <v>15297782</v>
      </c>
      <c r="S13">
        <v>16622607</v>
      </c>
      <c r="T13">
        <v>11602026</v>
      </c>
      <c r="U13">
        <v>83.64</v>
      </c>
      <c r="V13">
        <v>6.88</v>
      </c>
      <c r="W13">
        <v>4375</v>
      </c>
      <c r="X13">
        <v>1.1399999999999999</v>
      </c>
      <c r="Y13">
        <v>51.57</v>
      </c>
    </row>
    <row r="14" spans="1:25" x14ac:dyDescent="0.3">
      <c r="A14" t="s">
        <v>28</v>
      </c>
      <c r="B14" t="s">
        <v>35</v>
      </c>
      <c r="C14" t="s">
        <v>38</v>
      </c>
      <c r="D14" s="1">
        <v>44209</v>
      </c>
      <c r="E14">
        <v>21630108</v>
      </c>
      <c r="F14">
        <v>1963</v>
      </c>
      <c r="G14">
        <v>19.600000000000001</v>
      </c>
      <c r="H14">
        <v>12516</v>
      </c>
      <c r="I14">
        <v>529839</v>
      </c>
      <c r="J14">
        <v>11492</v>
      </c>
      <c r="K14">
        <v>12407</v>
      </c>
      <c r="L14">
        <v>1666</v>
      </c>
      <c r="M14">
        <v>476129</v>
      </c>
      <c r="N14">
        <v>453256</v>
      </c>
      <c r="O14">
        <v>2804</v>
      </c>
      <c r="P14">
        <v>1592104</v>
      </c>
      <c r="Q14">
        <v>9.91</v>
      </c>
      <c r="R14">
        <v>6406377</v>
      </c>
      <c r="S14">
        <v>23590236</v>
      </c>
      <c r="T14">
        <v>26157630</v>
      </c>
      <c r="U14">
        <v>69</v>
      </c>
      <c r="V14">
        <v>1.44</v>
      </c>
      <c r="W14">
        <v>2594</v>
      </c>
      <c r="X14">
        <v>2.71</v>
      </c>
      <c r="Y14">
        <v>74.61</v>
      </c>
    </row>
    <row r="15" spans="1:25" x14ac:dyDescent="0.3">
      <c r="A15" t="s">
        <v>27</v>
      </c>
      <c r="B15" t="s">
        <v>32</v>
      </c>
      <c r="C15" t="s">
        <v>37</v>
      </c>
      <c r="D15" s="1">
        <v>44210</v>
      </c>
      <c r="E15">
        <v>18979375</v>
      </c>
      <c r="F15">
        <v>10643</v>
      </c>
      <c r="G15">
        <v>41.2</v>
      </c>
      <c r="H15">
        <v>51492</v>
      </c>
      <c r="I15">
        <v>69359</v>
      </c>
      <c r="J15">
        <v>36113</v>
      </c>
      <c r="K15">
        <v>40889</v>
      </c>
      <c r="L15">
        <v>1090</v>
      </c>
      <c r="M15">
        <v>120618</v>
      </c>
      <c r="N15">
        <v>62185</v>
      </c>
      <c r="O15">
        <v>8031</v>
      </c>
      <c r="P15">
        <v>779639</v>
      </c>
      <c r="Q15">
        <v>13.44</v>
      </c>
      <c r="R15">
        <v>29976145</v>
      </c>
      <c r="S15">
        <v>8557770</v>
      </c>
      <c r="T15">
        <v>13483397</v>
      </c>
      <c r="U15">
        <v>86.98</v>
      </c>
      <c r="V15">
        <v>4.12</v>
      </c>
      <c r="W15">
        <v>1379</v>
      </c>
      <c r="X15">
        <v>0.97</v>
      </c>
      <c r="Y15">
        <v>12.1</v>
      </c>
    </row>
    <row r="16" spans="1:25" x14ac:dyDescent="0.3">
      <c r="A16" t="s">
        <v>26</v>
      </c>
      <c r="B16" t="s">
        <v>35</v>
      </c>
      <c r="C16" t="s">
        <v>40</v>
      </c>
      <c r="D16" s="1">
        <v>44211</v>
      </c>
      <c r="E16">
        <v>10892034</v>
      </c>
      <c r="F16">
        <v>1822</v>
      </c>
      <c r="G16">
        <v>21.6</v>
      </c>
      <c r="H16">
        <v>30086</v>
      </c>
      <c r="I16">
        <v>449096</v>
      </c>
      <c r="J16">
        <v>15357</v>
      </c>
      <c r="K16">
        <v>35179</v>
      </c>
      <c r="L16">
        <v>1828</v>
      </c>
      <c r="M16">
        <v>739206</v>
      </c>
      <c r="N16">
        <v>17962</v>
      </c>
      <c r="O16">
        <v>869</v>
      </c>
      <c r="P16">
        <v>1395166</v>
      </c>
      <c r="Q16">
        <v>10.39</v>
      </c>
      <c r="R16">
        <v>7916163</v>
      </c>
      <c r="S16">
        <v>11481567</v>
      </c>
      <c r="T16">
        <v>20458462</v>
      </c>
      <c r="U16">
        <v>79.69</v>
      </c>
      <c r="V16">
        <v>7.81</v>
      </c>
      <c r="W16">
        <v>3663</v>
      </c>
      <c r="X16">
        <v>3.21</v>
      </c>
      <c r="Y16">
        <v>22.16</v>
      </c>
    </row>
    <row r="17" spans="1:25" x14ac:dyDescent="0.3">
      <c r="A17" t="s">
        <v>28</v>
      </c>
      <c r="B17" t="s">
        <v>32</v>
      </c>
      <c r="C17" t="s">
        <v>41</v>
      </c>
      <c r="D17" s="1">
        <v>44212</v>
      </c>
      <c r="E17">
        <v>16894487</v>
      </c>
      <c r="F17">
        <v>19214</v>
      </c>
      <c r="G17">
        <v>37.5</v>
      </c>
      <c r="H17">
        <v>31480</v>
      </c>
      <c r="I17">
        <v>144988</v>
      </c>
      <c r="J17">
        <v>33329</v>
      </c>
      <c r="K17">
        <v>26950</v>
      </c>
      <c r="L17">
        <v>466</v>
      </c>
      <c r="M17">
        <v>272528</v>
      </c>
      <c r="N17">
        <v>272509</v>
      </c>
      <c r="O17">
        <v>5526</v>
      </c>
      <c r="P17">
        <v>469968</v>
      </c>
      <c r="Q17">
        <v>10.15</v>
      </c>
      <c r="R17">
        <v>36317166</v>
      </c>
      <c r="S17">
        <v>7467870</v>
      </c>
      <c r="T17">
        <v>13452645</v>
      </c>
      <c r="U17">
        <v>34.65</v>
      </c>
      <c r="V17">
        <v>7.22</v>
      </c>
      <c r="W17">
        <v>510</v>
      </c>
      <c r="X17">
        <v>1.53</v>
      </c>
      <c r="Y17">
        <v>37.97</v>
      </c>
    </row>
    <row r="18" spans="1:25" x14ac:dyDescent="0.3">
      <c r="A18" t="s">
        <v>30</v>
      </c>
      <c r="B18" t="s">
        <v>35</v>
      </c>
      <c r="C18" t="s">
        <v>40</v>
      </c>
      <c r="D18" s="1">
        <v>44213</v>
      </c>
      <c r="E18">
        <v>31171003</v>
      </c>
      <c r="F18">
        <v>13046</v>
      </c>
      <c r="G18">
        <v>27</v>
      </c>
      <c r="H18">
        <v>53091</v>
      </c>
      <c r="I18">
        <v>127150</v>
      </c>
      <c r="J18">
        <v>20365</v>
      </c>
      <c r="K18">
        <v>42259</v>
      </c>
      <c r="L18">
        <v>284</v>
      </c>
      <c r="M18">
        <v>116981</v>
      </c>
      <c r="N18">
        <v>140877</v>
      </c>
      <c r="O18">
        <v>7741</v>
      </c>
      <c r="P18">
        <v>891965</v>
      </c>
      <c r="Q18">
        <v>24.24</v>
      </c>
      <c r="R18">
        <v>20929770</v>
      </c>
      <c r="S18">
        <v>36027733</v>
      </c>
      <c r="T18">
        <v>14817038</v>
      </c>
      <c r="U18">
        <v>77.44</v>
      </c>
      <c r="V18">
        <v>0.88</v>
      </c>
      <c r="W18">
        <v>856</v>
      </c>
      <c r="X18">
        <v>3.98</v>
      </c>
      <c r="Y18">
        <v>36.04</v>
      </c>
    </row>
    <row r="19" spans="1:25" x14ac:dyDescent="0.3">
      <c r="A19" t="s">
        <v>27</v>
      </c>
      <c r="B19" t="s">
        <v>33</v>
      </c>
      <c r="C19" t="s">
        <v>40</v>
      </c>
      <c r="D19" s="1">
        <v>44214</v>
      </c>
      <c r="E19">
        <v>42566990</v>
      </c>
      <c r="F19">
        <v>2921</v>
      </c>
      <c r="G19">
        <v>23.6</v>
      </c>
      <c r="H19">
        <v>48766</v>
      </c>
      <c r="I19">
        <v>474919</v>
      </c>
      <c r="J19">
        <v>39029</v>
      </c>
      <c r="K19">
        <v>28351</v>
      </c>
      <c r="L19">
        <v>600</v>
      </c>
      <c r="M19">
        <v>68759</v>
      </c>
      <c r="N19">
        <v>186451</v>
      </c>
      <c r="O19">
        <v>4694</v>
      </c>
      <c r="P19">
        <v>779559</v>
      </c>
      <c r="Q19">
        <v>3.74</v>
      </c>
      <c r="R19">
        <v>10617218</v>
      </c>
      <c r="S19">
        <v>11145841</v>
      </c>
      <c r="T19">
        <v>10290374</v>
      </c>
      <c r="U19">
        <v>26.25</v>
      </c>
      <c r="V19">
        <v>5.69</v>
      </c>
      <c r="W19">
        <v>3749</v>
      </c>
      <c r="X19">
        <v>4.0599999999999996</v>
      </c>
      <c r="Y19">
        <v>39.17</v>
      </c>
    </row>
    <row r="20" spans="1:25" x14ac:dyDescent="0.3">
      <c r="A20" t="s">
        <v>29</v>
      </c>
      <c r="B20" t="s">
        <v>33</v>
      </c>
      <c r="C20" t="s">
        <v>38</v>
      </c>
      <c r="D20" s="1">
        <v>44215</v>
      </c>
      <c r="E20">
        <v>13412550</v>
      </c>
      <c r="F20">
        <v>13284</v>
      </c>
      <c r="G20">
        <v>30.2</v>
      </c>
      <c r="H20">
        <v>39737</v>
      </c>
      <c r="I20">
        <v>697805</v>
      </c>
      <c r="J20">
        <v>1737</v>
      </c>
      <c r="K20">
        <v>10077</v>
      </c>
      <c r="L20">
        <v>1440</v>
      </c>
      <c r="M20">
        <v>50310</v>
      </c>
      <c r="N20">
        <v>62571</v>
      </c>
      <c r="O20">
        <v>8998</v>
      </c>
      <c r="P20">
        <v>1533239</v>
      </c>
      <c r="Q20">
        <v>29.12</v>
      </c>
      <c r="R20">
        <v>41745230</v>
      </c>
      <c r="S20">
        <v>10301598</v>
      </c>
      <c r="T20">
        <v>361949</v>
      </c>
      <c r="U20">
        <v>32.86</v>
      </c>
      <c r="V20">
        <v>1.34</v>
      </c>
      <c r="W20">
        <v>2323</v>
      </c>
      <c r="X20">
        <v>2.37</v>
      </c>
      <c r="Y20">
        <v>79.349999999999994</v>
      </c>
    </row>
    <row r="21" spans="1:25" x14ac:dyDescent="0.3">
      <c r="A21" t="s">
        <v>26</v>
      </c>
      <c r="B21" t="s">
        <v>33</v>
      </c>
      <c r="C21" t="s">
        <v>37</v>
      </c>
      <c r="D21" s="1">
        <v>44216</v>
      </c>
      <c r="E21">
        <v>47237861</v>
      </c>
      <c r="F21">
        <v>17094</v>
      </c>
      <c r="G21">
        <v>43.6</v>
      </c>
      <c r="H21">
        <v>10265</v>
      </c>
      <c r="I21">
        <v>310780</v>
      </c>
      <c r="J21">
        <v>9096</v>
      </c>
      <c r="K21">
        <v>46154</v>
      </c>
      <c r="L21">
        <v>1123</v>
      </c>
      <c r="M21">
        <v>130426</v>
      </c>
      <c r="N21">
        <v>91180</v>
      </c>
      <c r="O21">
        <v>1934</v>
      </c>
      <c r="P21">
        <v>429082</v>
      </c>
      <c r="Q21">
        <v>16.649999999999999</v>
      </c>
      <c r="R21">
        <v>44081070</v>
      </c>
      <c r="S21">
        <v>19667104</v>
      </c>
      <c r="T21">
        <v>22527824</v>
      </c>
      <c r="U21">
        <v>10.79</v>
      </c>
      <c r="V21">
        <v>9.9600000000000009</v>
      </c>
      <c r="W21">
        <v>108</v>
      </c>
      <c r="X21">
        <v>0.99</v>
      </c>
      <c r="Y21">
        <v>32.42</v>
      </c>
    </row>
    <row r="22" spans="1:25" x14ac:dyDescent="0.3">
      <c r="A22" t="s">
        <v>30</v>
      </c>
      <c r="B22" t="s">
        <v>33</v>
      </c>
      <c r="C22" t="s">
        <v>41</v>
      </c>
      <c r="D22" s="1">
        <v>44217</v>
      </c>
      <c r="E22">
        <v>36704667</v>
      </c>
      <c r="F22">
        <v>10571</v>
      </c>
      <c r="G22">
        <v>30.5</v>
      </c>
      <c r="H22">
        <v>16386</v>
      </c>
      <c r="I22">
        <v>468143</v>
      </c>
      <c r="J22">
        <v>19938</v>
      </c>
      <c r="K22">
        <v>13834</v>
      </c>
      <c r="L22">
        <v>188</v>
      </c>
      <c r="M22">
        <v>529549</v>
      </c>
      <c r="N22">
        <v>473150</v>
      </c>
      <c r="O22">
        <v>5172</v>
      </c>
      <c r="P22">
        <v>606262</v>
      </c>
      <c r="Q22">
        <v>5.49</v>
      </c>
      <c r="R22">
        <v>40046629</v>
      </c>
      <c r="S22">
        <v>30115712</v>
      </c>
      <c r="T22">
        <v>28118518</v>
      </c>
      <c r="U22">
        <v>93.51</v>
      </c>
      <c r="V22">
        <v>9.02</v>
      </c>
      <c r="W22">
        <v>2525</v>
      </c>
      <c r="X22">
        <v>3.27</v>
      </c>
      <c r="Y22">
        <v>50.19</v>
      </c>
    </row>
    <row r="23" spans="1:25" x14ac:dyDescent="0.3">
      <c r="A23" t="s">
        <v>30</v>
      </c>
      <c r="B23" t="s">
        <v>34</v>
      </c>
      <c r="C23" t="s">
        <v>39</v>
      </c>
      <c r="D23" s="1">
        <v>44218</v>
      </c>
      <c r="E23">
        <v>32143648</v>
      </c>
      <c r="F23">
        <v>10692</v>
      </c>
      <c r="G23">
        <v>42</v>
      </c>
      <c r="H23">
        <v>38425</v>
      </c>
      <c r="I23">
        <v>996698</v>
      </c>
      <c r="J23">
        <v>12682</v>
      </c>
      <c r="K23">
        <v>13454</v>
      </c>
      <c r="L23">
        <v>988</v>
      </c>
      <c r="M23">
        <v>783202</v>
      </c>
      <c r="N23">
        <v>456295</v>
      </c>
      <c r="O23">
        <v>703</v>
      </c>
      <c r="P23">
        <v>1647265</v>
      </c>
      <c r="Q23">
        <v>3.94</v>
      </c>
      <c r="R23">
        <v>47355341</v>
      </c>
      <c r="S23">
        <v>21312427</v>
      </c>
      <c r="T23">
        <v>26291093</v>
      </c>
      <c r="U23">
        <v>29.1</v>
      </c>
      <c r="V23">
        <v>0.7</v>
      </c>
      <c r="W23">
        <v>4873</v>
      </c>
      <c r="X23">
        <v>4.96</v>
      </c>
      <c r="Y23">
        <v>62.39</v>
      </c>
    </row>
    <row r="24" spans="1:25" x14ac:dyDescent="0.3">
      <c r="A24" t="s">
        <v>29</v>
      </c>
      <c r="B24" t="s">
        <v>33</v>
      </c>
      <c r="C24" t="s">
        <v>39</v>
      </c>
      <c r="D24" s="1">
        <v>44219</v>
      </c>
      <c r="E24">
        <v>38794471</v>
      </c>
      <c r="F24">
        <v>1182</v>
      </c>
      <c r="G24">
        <v>22</v>
      </c>
      <c r="H24">
        <v>44254</v>
      </c>
      <c r="I24">
        <v>817117</v>
      </c>
      <c r="J24">
        <v>27499</v>
      </c>
      <c r="K24">
        <v>45657</v>
      </c>
      <c r="L24">
        <v>889</v>
      </c>
      <c r="M24">
        <v>16875</v>
      </c>
      <c r="N24">
        <v>318072</v>
      </c>
      <c r="O24">
        <v>2523</v>
      </c>
      <c r="P24">
        <v>214165</v>
      </c>
      <c r="Q24">
        <v>17.75</v>
      </c>
      <c r="R24">
        <v>16668096</v>
      </c>
      <c r="S24">
        <v>7936154</v>
      </c>
      <c r="T24">
        <v>8248892</v>
      </c>
      <c r="U24">
        <v>52.06</v>
      </c>
      <c r="V24">
        <v>8.66</v>
      </c>
      <c r="W24">
        <v>1205</v>
      </c>
      <c r="X24">
        <v>3.15</v>
      </c>
      <c r="Y24">
        <v>23.22</v>
      </c>
    </row>
    <row r="25" spans="1:25" x14ac:dyDescent="0.3">
      <c r="A25" t="s">
        <v>26</v>
      </c>
      <c r="B25" t="s">
        <v>36</v>
      </c>
      <c r="C25" t="s">
        <v>40</v>
      </c>
      <c r="D25" s="1">
        <v>44220</v>
      </c>
      <c r="E25">
        <v>44183574</v>
      </c>
      <c r="F25">
        <v>749</v>
      </c>
      <c r="G25">
        <v>42.7</v>
      </c>
      <c r="H25">
        <v>54634</v>
      </c>
      <c r="I25">
        <v>838566</v>
      </c>
      <c r="J25">
        <v>44491</v>
      </c>
      <c r="K25">
        <v>48890</v>
      </c>
      <c r="L25">
        <v>1881</v>
      </c>
      <c r="M25">
        <v>238617</v>
      </c>
      <c r="N25">
        <v>491522</v>
      </c>
      <c r="O25">
        <v>2639</v>
      </c>
      <c r="P25">
        <v>406427</v>
      </c>
      <c r="Q25">
        <v>18.989999999999998</v>
      </c>
      <c r="R25">
        <v>24632436</v>
      </c>
      <c r="S25">
        <v>8362469</v>
      </c>
      <c r="T25">
        <v>28855415</v>
      </c>
      <c r="U25">
        <v>39.130000000000003</v>
      </c>
      <c r="V25">
        <v>9.23</v>
      </c>
      <c r="W25">
        <v>547</v>
      </c>
      <c r="X25">
        <v>0.28000000000000003</v>
      </c>
      <c r="Y25">
        <v>71.87</v>
      </c>
    </row>
    <row r="26" spans="1:25" x14ac:dyDescent="0.3">
      <c r="A26" t="s">
        <v>27</v>
      </c>
      <c r="B26" t="s">
        <v>36</v>
      </c>
      <c r="C26" t="s">
        <v>38</v>
      </c>
      <c r="D26" s="1">
        <v>44221</v>
      </c>
      <c r="E26">
        <v>10193374</v>
      </c>
      <c r="F26">
        <v>14584</v>
      </c>
      <c r="G26">
        <v>25.6</v>
      </c>
      <c r="H26">
        <v>48662</v>
      </c>
      <c r="I26">
        <v>352060</v>
      </c>
      <c r="J26">
        <v>44866</v>
      </c>
      <c r="K26">
        <v>33317</v>
      </c>
      <c r="L26">
        <v>387</v>
      </c>
      <c r="M26">
        <v>162137</v>
      </c>
      <c r="N26">
        <v>379128</v>
      </c>
      <c r="O26">
        <v>6159</v>
      </c>
      <c r="P26">
        <v>453201</v>
      </c>
      <c r="Q26">
        <v>1.59</v>
      </c>
      <c r="R26">
        <v>988807</v>
      </c>
      <c r="S26">
        <v>16696299</v>
      </c>
      <c r="T26">
        <v>16442940</v>
      </c>
      <c r="U26">
        <v>95.99</v>
      </c>
      <c r="V26">
        <v>3.86</v>
      </c>
      <c r="W26">
        <v>4375</v>
      </c>
      <c r="X26">
        <v>0.18</v>
      </c>
      <c r="Y26">
        <v>54.71</v>
      </c>
    </row>
    <row r="27" spans="1:25" x14ac:dyDescent="0.3">
      <c r="A27" t="s">
        <v>31</v>
      </c>
      <c r="B27" t="s">
        <v>34</v>
      </c>
      <c r="C27" t="s">
        <v>38</v>
      </c>
      <c r="D27" s="1">
        <v>44222</v>
      </c>
      <c r="E27">
        <v>29063971</v>
      </c>
      <c r="F27">
        <v>10280</v>
      </c>
      <c r="G27">
        <v>39.700000000000003</v>
      </c>
      <c r="H27">
        <v>11143</v>
      </c>
      <c r="I27">
        <v>108967</v>
      </c>
      <c r="J27">
        <v>41894</v>
      </c>
      <c r="K27">
        <v>10984</v>
      </c>
      <c r="L27">
        <v>240</v>
      </c>
      <c r="M27">
        <v>103154</v>
      </c>
      <c r="N27">
        <v>108107</v>
      </c>
      <c r="O27">
        <v>3909</v>
      </c>
      <c r="P27">
        <v>1213916</v>
      </c>
      <c r="Q27">
        <v>7.29</v>
      </c>
      <c r="R27">
        <v>47620657</v>
      </c>
      <c r="S27">
        <v>21613579</v>
      </c>
      <c r="T27">
        <v>19176756</v>
      </c>
      <c r="U27">
        <v>33.5</v>
      </c>
      <c r="V27">
        <v>7.34</v>
      </c>
      <c r="W27">
        <v>4478</v>
      </c>
      <c r="X27">
        <v>1.67</v>
      </c>
      <c r="Y27">
        <v>44.68</v>
      </c>
    </row>
    <row r="28" spans="1:25" x14ac:dyDescent="0.3">
      <c r="A28" t="s">
        <v>26</v>
      </c>
      <c r="B28" t="s">
        <v>33</v>
      </c>
      <c r="C28" t="s">
        <v>39</v>
      </c>
      <c r="D28" s="1">
        <v>44223</v>
      </c>
      <c r="E28">
        <v>30614233</v>
      </c>
      <c r="F28">
        <v>6347</v>
      </c>
      <c r="G28">
        <v>36.1</v>
      </c>
      <c r="H28">
        <v>16581</v>
      </c>
      <c r="I28">
        <v>95455</v>
      </c>
      <c r="J28">
        <v>46157</v>
      </c>
      <c r="K28">
        <v>46624</v>
      </c>
      <c r="L28">
        <v>1805</v>
      </c>
      <c r="M28">
        <v>819907</v>
      </c>
      <c r="N28">
        <v>46204</v>
      </c>
      <c r="O28">
        <v>1164</v>
      </c>
      <c r="P28">
        <v>1839654</v>
      </c>
      <c r="Q28">
        <v>23.86</v>
      </c>
      <c r="R28">
        <v>32117541</v>
      </c>
      <c r="S28">
        <v>31533122</v>
      </c>
      <c r="T28">
        <v>9714290</v>
      </c>
      <c r="U28">
        <v>77.849999999999994</v>
      </c>
      <c r="V28">
        <v>4.7</v>
      </c>
      <c r="W28">
        <v>4026</v>
      </c>
      <c r="X28">
        <v>1.06</v>
      </c>
      <c r="Y28">
        <v>80.98</v>
      </c>
    </row>
    <row r="29" spans="1:25" x14ac:dyDescent="0.3">
      <c r="A29" t="s">
        <v>29</v>
      </c>
      <c r="B29" t="s">
        <v>33</v>
      </c>
      <c r="C29" t="s">
        <v>41</v>
      </c>
      <c r="D29" s="1">
        <v>44224</v>
      </c>
      <c r="E29">
        <v>36730949</v>
      </c>
      <c r="F29">
        <v>12889</v>
      </c>
      <c r="G29">
        <v>47.7</v>
      </c>
      <c r="H29">
        <v>68443</v>
      </c>
      <c r="I29">
        <v>784123</v>
      </c>
      <c r="J29">
        <v>41034</v>
      </c>
      <c r="K29">
        <v>38393</v>
      </c>
      <c r="L29">
        <v>1754</v>
      </c>
      <c r="M29">
        <v>682933</v>
      </c>
      <c r="N29">
        <v>41034</v>
      </c>
      <c r="O29">
        <v>619</v>
      </c>
      <c r="P29">
        <v>711731</v>
      </c>
      <c r="Q29">
        <v>1.49</v>
      </c>
      <c r="R29">
        <v>11315081</v>
      </c>
      <c r="S29">
        <v>10488349</v>
      </c>
      <c r="T29">
        <v>29592026</v>
      </c>
      <c r="U29">
        <v>85.54</v>
      </c>
      <c r="V29">
        <v>6.72</v>
      </c>
      <c r="W29">
        <v>1657</v>
      </c>
      <c r="X29">
        <v>4.08</v>
      </c>
      <c r="Y29">
        <v>24.35</v>
      </c>
    </row>
    <row r="30" spans="1:25" x14ac:dyDescent="0.3">
      <c r="A30" t="s">
        <v>30</v>
      </c>
      <c r="B30" t="s">
        <v>33</v>
      </c>
      <c r="C30" t="s">
        <v>37</v>
      </c>
      <c r="D30" s="1">
        <v>44225</v>
      </c>
      <c r="E30">
        <v>4807086</v>
      </c>
      <c r="F30">
        <v>7862</v>
      </c>
      <c r="G30">
        <v>30.4</v>
      </c>
      <c r="H30">
        <v>30424</v>
      </c>
      <c r="I30">
        <v>462063</v>
      </c>
      <c r="J30">
        <v>294</v>
      </c>
      <c r="K30">
        <v>29300</v>
      </c>
      <c r="L30">
        <v>416</v>
      </c>
      <c r="M30">
        <v>201298</v>
      </c>
      <c r="N30">
        <v>254706</v>
      </c>
      <c r="O30">
        <v>7982</v>
      </c>
      <c r="P30">
        <v>1821987</v>
      </c>
      <c r="Q30">
        <v>25.65</v>
      </c>
      <c r="R30">
        <v>5781801</v>
      </c>
      <c r="S30">
        <v>24547542</v>
      </c>
      <c r="T30">
        <v>24898087</v>
      </c>
      <c r="U30">
        <v>43.56</v>
      </c>
      <c r="V30">
        <v>3.73</v>
      </c>
      <c r="W30">
        <v>770</v>
      </c>
      <c r="X30">
        <v>4.24</v>
      </c>
      <c r="Y30">
        <v>88.32</v>
      </c>
    </row>
    <row r="31" spans="1:25" x14ac:dyDescent="0.3">
      <c r="A31" t="s">
        <v>27</v>
      </c>
      <c r="B31" t="s">
        <v>35</v>
      </c>
      <c r="C31" t="s">
        <v>41</v>
      </c>
      <c r="D31" s="1">
        <v>44226</v>
      </c>
      <c r="E31">
        <v>41385438</v>
      </c>
      <c r="F31">
        <v>4607</v>
      </c>
      <c r="G31">
        <v>20.100000000000001</v>
      </c>
      <c r="H31">
        <v>42984</v>
      </c>
      <c r="I31">
        <v>958497</v>
      </c>
      <c r="J31">
        <v>32536</v>
      </c>
      <c r="K31">
        <v>16026</v>
      </c>
      <c r="L31">
        <v>1941</v>
      </c>
      <c r="M31">
        <v>133455</v>
      </c>
      <c r="N31">
        <v>376664</v>
      </c>
      <c r="O31">
        <v>3066</v>
      </c>
      <c r="P31">
        <v>305960</v>
      </c>
      <c r="Q31">
        <v>19.739999999999998</v>
      </c>
      <c r="R31">
        <v>48101529</v>
      </c>
      <c r="S31">
        <v>15960257</v>
      </c>
      <c r="T31">
        <v>6654295</v>
      </c>
      <c r="U31">
        <v>37.82</v>
      </c>
      <c r="V31">
        <v>3.56</v>
      </c>
      <c r="W31">
        <v>1324</v>
      </c>
      <c r="X31">
        <v>1.37</v>
      </c>
      <c r="Y31">
        <v>56.1</v>
      </c>
    </row>
    <row r="32" spans="1:25" x14ac:dyDescent="0.3">
      <c r="A32" t="s">
        <v>26</v>
      </c>
      <c r="B32" t="s">
        <v>32</v>
      </c>
      <c r="C32" t="s">
        <v>37</v>
      </c>
      <c r="D32" s="1">
        <v>44227</v>
      </c>
      <c r="E32">
        <v>26293044</v>
      </c>
      <c r="F32">
        <v>2229</v>
      </c>
      <c r="G32">
        <v>18.600000000000001</v>
      </c>
      <c r="H32">
        <v>42505</v>
      </c>
      <c r="I32">
        <v>176405</v>
      </c>
      <c r="J32">
        <v>24596</v>
      </c>
      <c r="K32">
        <v>32122</v>
      </c>
      <c r="L32">
        <v>175</v>
      </c>
      <c r="M32">
        <v>705489</v>
      </c>
      <c r="N32">
        <v>6150</v>
      </c>
      <c r="O32">
        <v>4872</v>
      </c>
      <c r="P32">
        <v>1139036</v>
      </c>
      <c r="Q32">
        <v>13.03</v>
      </c>
      <c r="R32">
        <v>43928283</v>
      </c>
      <c r="S32">
        <v>39900806</v>
      </c>
      <c r="T32">
        <v>23841395</v>
      </c>
      <c r="U32">
        <v>74.77</v>
      </c>
      <c r="V32">
        <v>4.53</v>
      </c>
      <c r="W32">
        <v>3917</v>
      </c>
      <c r="X32">
        <v>1.7</v>
      </c>
      <c r="Y32">
        <v>60.92</v>
      </c>
    </row>
    <row r="33" spans="1:25" x14ac:dyDescent="0.3">
      <c r="A33" t="s">
        <v>31</v>
      </c>
      <c r="B33" t="s">
        <v>35</v>
      </c>
      <c r="C33" t="s">
        <v>39</v>
      </c>
      <c r="D33" s="1">
        <v>44228</v>
      </c>
      <c r="E33">
        <v>8829442</v>
      </c>
      <c r="F33">
        <v>11080</v>
      </c>
      <c r="G33">
        <v>44.5</v>
      </c>
      <c r="H33">
        <v>63699</v>
      </c>
      <c r="I33">
        <v>240646</v>
      </c>
      <c r="J33">
        <v>32649</v>
      </c>
      <c r="K33">
        <v>28523</v>
      </c>
      <c r="L33">
        <v>386</v>
      </c>
      <c r="M33">
        <v>720030</v>
      </c>
      <c r="N33">
        <v>175124</v>
      </c>
      <c r="O33">
        <v>8638</v>
      </c>
      <c r="P33">
        <v>1355832</v>
      </c>
      <c r="Q33">
        <v>10.39</v>
      </c>
      <c r="R33">
        <v>48424587</v>
      </c>
      <c r="S33">
        <v>8396319</v>
      </c>
      <c r="T33">
        <v>6539399</v>
      </c>
      <c r="U33">
        <v>91.29</v>
      </c>
      <c r="V33">
        <v>1.88</v>
      </c>
      <c r="W33">
        <v>740</v>
      </c>
      <c r="X33">
        <v>1.26</v>
      </c>
      <c r="Y33">
        <v>87.51</v>
      </c>
    </row>
    <row r="34" spans="1:25" x14ac:dyDescent="0.3">
      <c r="A34" t="s">
        <v>31</v>
      </c>
      <c r="B34" t="s">
        <v>32</v>
      </c>
      <c r="C34" t="s">
        <v>37</v>
      </c>
      <c r="D34" s="1">
        <v>44229</v>
      </c>
      <c r="E34">
        <v>30871444</v>
      </c>
      <c r="F34">
        <v>9115</v>
      </c>
      <c r="G34">
        <v>34.799999999999997</v>
      </c>
      <c r="H34">
        <v>27957</v>
      </c>
      <c r="I34">
        <v>190937</v>
      </c>
      <c r="J34">
        <v>11434</v>
      </c>
      <c r="K34">
        <v>2966</v>
      </c>
      <c r="L34">
        <v>1494</v>
      </c>
      <c r="M34">
        <v>74989</v>
      </c>
      <c r="N34">
        <v>479886</v>
      </c>
      <c r="O34">
        <v>2337</v>
      </c>
      <c r="P34">
        <v>1100624</v>
      </c>
      <c r="Q34">
        <v>0.57999999999999996</v>
      </c>
      <c r="R34">
        <v>30288339</v>
      </c>
      <c r="S34">
        <v>21293094</v>
      </c>
      <c r="T34">
        <v>17916180</v>
      </c>
      <c r="U34">
        <v>75.489999999999995</v>
      </c>
      <c r="V34">
        <v>8.4</v>
      </c>
      <c r="W34">
        <v>4073</v>
      </c>
      <c r="X34">
        <v>4.55</v>
      </c>
      <c r="Y34">
        <v>81.760000000000005</v>
      </c>
    </row>
    <row r="35" spans="1:25" x14ac:dyDescent="0.3">
      <c r="A35" t="s">
        <v>28</v>
      </c>
      <c r="B35" t="s">
        <v>33</v>
      </c>
      <c r="C35" t="s">
        <v>38</v>
      </c>
      <c r="D35" s="1">
        <v>44230</v>
      </c>
      <c r="E35">
        <v>9331924</v>
      </c>
      <c r="F35">
        <v>8325</v>
      </c>
      <c r="G35">
        <v>42.8</v>
      </c>
      <c r="H35">
        <v>26464</v>
      </c>
      <c r="I35">
        <v>473312</v>
      </c>
      <c r="J35">
        <v>38098</v>
      </c>
      <c r="K35">
        <v>8087</v>
      </c>
      <c r="L35">
        <v>852</v>
      </c>
      <c r="M35">
        <v>533169</v>
      </c>
      <c r="N35">
        <v>270728</v>
      </c>
      <c r="O35">
        <v>8400</v>
      </c>
      <c r="P35">
        <v>1780382</v>
      </c>
      <c r="Q35">
        <v>24.76</v>
      </c>
      <c r="R35">
        <v>13977229</v>
      </c>
      <c r="S35">
        <v>2815839</v>
      </c>
      <c r="T35">
        <v>14383068</v>
      </c>
      <c r="U35">
        <v>22.71</v>
      </c>
      <c r="V35">
        <v>3.81</v>
      </c>
      <c r="W35">
        <v>4202</v>
      </c>
      <c r="X35">
        <v>2.56</v>
      </c>
      <c r="Y35">
        <v>60.16</v>
      </c>
    </row>
    <row r="36" spans="1:25" x14ac:dyDescent="0.3">
      <c r="A36" t="s">
        <v>28</v>
      </c>
      <c r="B36" t="s">
        <v>33</v>
      </c>
      <c r="C36" t="s">
        <v>40</v>
      </c>
      <c r="D36" s="1">
        <v>44231</v>
      </c>
      <c r="E36">
        <v>40222995</v>
      </c>
      <c r="F36">
        <v>17856</v>
      </c>
      <c r="G36">
        <v>25.5</v>
      </c>
      <c r="H36">
        <v>24649</v>
      </c>
      <c r="I36">
        <v>837188</v>
      </c>
      <c r="J36">
        <v>4655</v>
      </c>
      <c r="K36">
        <v>36500</v>
      </c>
      <c r="L36">
        <v>1256</v>
      </c>
      <c r="M36">
        <v>145367</v>
      </c>
      <c r="N36">
        <v>324892</v>
      </c>
      <c r="O36">
        <v>5594</v>
      </c>
      <c r="P36">
        <v>1182426</v>
      </c>
      <c r="Q36">
        <v>4.28</v>
      </c>
      <c r="R36">
        <v>42643501</v>
      </c>
      <c r="S36">
        <v>750506</v>
      </c>
      <c r="T36">
        <v>29339434</v>
      </c>
      <c r="U36">
        <v>88.83</v>
      </c>
      <c r="V36">
        <v>4.3</v>
      </c>
      <c r="W36">
        <v>3487</v>
      </c>
      <c r="X36">
        <v>3.32</v>
      </c>
      <c r="Y36">
        <v>75.319999999999993</v>
      </c>
    </row>
    <row r="37" spans="1:25" x14ac:dyDescent="0.3">
      <c r="A37" t="s">
        <v>25</v>
      </c>
      <c r="B37" t="s">
        <v>35</v>
      </c>
      <c r="C37" t="s">
        <v>40</v>
      </c>
      <c r="D37" s="1">
        <v>44232</v>
      </c>
      <c r="E37">
        <v>3956653</v>
      </c>
      <c r="F37">
        <v>15139</v>
      </c>
      <c r="G37">
        <v>29</v>
      </c>
      <c r="H37">
        <v>43065</v>
      </c>
      <c r="I37">
        <v>386007</v>
      </c>
      <c r="J37">
        <v>17493</v>
      </c>
      <c r="K37">
        <v>44837</v>
      </c>
      <c r="L37">
        <v>662</v>
      </c>
      <c r="M37">
        <v>63499</v>
      </c>
      <c r="N37">
        <v>322189</v>
      </c>
      <c r="O37">
        <v>2460</v>
      </c>
      <c r="P37">
        <v>1881760</v>
      </c>
      <c r="Q37">
        <v>9.2899999999999991</v>
      </c>
      <c r="R37">
        <v>34254498</v>
      </c>
      <c r="S37">
        <v>36540621</v>
      </c>
      <c r="T37">
        <v>77332</v>
      </c>
      <c r="U37">
        <v>38.76</v>
      </c>
      <c r="V37">
        <v>8.99</v>
      </c>
      <c r="W37">
        <v>2405</v>
      </c>
      <c r="X37">
        <v>2.14</v>
      </c>
      <c r="Y37">
        <v>43.33</v>
      </c>
    </row>
    <row r="38" spans="1:25" x14ac:dyDescent="0.3">
      <c r="A38" t="s">
        <v>29</v>
      </c>
      <c r="B38" t="s">
        <v>35</v>
      </c>
      <c r="C38" t="s">
        <v>39</v>
      </c>
      <c r="D38" s="1">
        <v>44233</v>
      </c>
      <c r="E38">
        <v>2388806</v>
      </c>
      <c r="F38">
        <v>3230</v>
      </c>
      <c r="G38">
        <v>19</v>
      </c>
      <c r="H38">
        <v>35758</v>
      </c>
      <c r="I38">
        <v>62192</v>
      </c>
      <c r="J38">
        <v>46228</v>
      </c>
      <c r="K38">
        <v>37865</v>
      </c>
      <c r="L38">
        <v>451</v>
      </c>
      <c r="M38">
        <v>312551</v>
      </c>
      <c r="N38">
        <v>184850</v>
      </c>
      <c r="O38">
        <v>6820</v>
      </c>
      <c r="P38">
        <v>1527769</v>
      </c>
      <c r="Q38">
        <v>17.07</v>
      </c>
      <c r="R38">
        <v>20986635</v>
      </c>
      <c r="S38">
        <v>33034114</v>
      </c>
      <c r="T38">
        <v>29253506</v>
      </c>
      <c r="U38">
        <v>57.62</v>
      </c>
      <c r="V38">
        <v>5.22</v>
      </c>
      <c r="W38">
        <v>799</v>
      </c>
      <c r="X38">
        <v>3.19</v>
      </c>
      <c r="Y38">
        <v>54.74</v>
      </c>
    </row>
    <row r="39" spans="1:25" x14ac:dyDescent="0.3">
      <c r="A39" t="s">
        <v>26</v>
      </c>
      <c r="B39" t="s">
        <v>32</v>
      </c>
      <c r="C39" t="s">
        <v>38</v>
      </c>
      <c r="D39" s="1">
        <v>44234</v>
      </c>
      <c r="E39">
        <v>45687464</v>
      </c>
      <c r="F39">
        <v>6746</v>
      </c>
      <c r="G39">
        <v>48.8</v>
      </c>
      <c r="H39">
        <v>6596</v>
      </c>
      <c r="I39">
        <v>192758</v>
      </c>
      <c r="J39">
        <v>3771</v>
      </c>
      <c r="K39">
        <v>43116</v>
      </c>
      <c r="L39">
        <v>276</v>
      </c>
      <c r="M39">
        <v>857399</v>
      </c>
      <c r="N39">
        <v>31423</v>
      </c>
      <c r="O39">
        <v>5546</v>
      </c>
      <c r="P39">
        <v>1906734</v>
      </c>
      <c r="Q39">
        <v>7.38</v>
      </c>
      <c r="R39">
        <v>38872691</v>
      </c>
      <c r="S39">
        <v>4453293</v>
      </c>
      <c r="T39">
        <v>2066462</v>
      </c>
      <c r="U39">
        <v>83.14</v>
      </c>
      <c r="V39">
        <v>5.67</v>
      </c>
      <c r="W39">
        <v>3101</v>
      </c>
      <c r="X39">
        <v>1.99</v>
      </c>
      <c r="Y39">
        <v>6.21</v>
      </c>
    </row>
    <row r="40" spans="1:25" x14ac:dyDescent="0.3">
      <c r="A40" t="s">
        <v>26</v>
      </c>
      <c r="B40" t="s">
        <v>36</v>
      </c>
      <c r="C40" t="s">
        <v>41</v>
      </c>
      <c r="D40" s="1">
        <v>44235</v>
      </c>
      <c r="E40">
        <v>31412354</v>
      </c>
      <c r="F40">
        <v>9633</v>
      </c>
      <c r="G40">
        <v>39.4</v>
      </c>
      <c r="H40">
        <v>17374</v>
      </c>
      <c r="I40">
        <v>836165</v>
      </c>
      <c r="J40">
        <v>8563</v>
      </c>
      <c r="K40">
        <v>34948</v>
      </c>
      <c r="L40">
        <v>1252</v>
      </c>
      <c r="M40">
        <v>829555</v>
      </c>
      <c r="N40">
        <v>86432</v>
      </c>
      <c r="O40">
        <v>3442</v>
      </c>
      <c r="P40">
        <v>737200</v>
      </c>
      <c r="Q40">
        <v>14.91</v>
      </c>
      <c r="R40">
        <v>39030865</v>
      </c>
      <c r="S40">
        <v>7671711</v>
      </c>
      <c r="T40">
        <v>4903158</v>
      </c>
      <c r="U40">
        <v>18.84</v>
      </c>
      <c r="V40">
        <v>9.59</v>
      </c>
      <c r="W40">
        <v>4823</v>
      </c>
      <c r="X40">
        <v>1.76</v>
      </c>
      <c r="Y40">
        <v>8.99</v>
      </c>
    </row>
    <row r="41" spans="1:25" x14ac:dyDescent="0.3">
      <c r="A41" t="s">
        <v>25</v>
      </c>
      <c r="B41" t="s">
        <v>32</v>
      </c>
      <c r="C41" t="s">
        <v>38</v>
      </c>
      <c r="D41" s="1">
        <v>44236</v>
      </c>
      <c r="E41">
        <v>38016108</v>
      </c>
      <c r="F41">
        <v>17048</v>
      </c>
      <c r="G41">
        <v>47.9</v>
      </c>
      <c r="H41">
        <v>4775</v>
      </c>
      <c r="I41">
        <v>236161</v>
      </c>
      <c r="J41">
        <v>17558</v>
      </c>
      <c r="K41">
        <v>36169</v>
      </c>
      <c r="L41">
        <v>1194</v>
      </c>
      <c r="M41">
        <v>694352</v>
      </c>
      <c r="N41">
        <v>356849</v>
      </c>
      <c r="O41">
        <v>2711</v>
      </c>
      <c r="P41">
        <v>1023805</v>
      </c>
      <c r="Q41">
        <v>24.28</v>
      </c>
      <c r="R41">
        <v>36347585</v>
      </c>
      <c r="S41">
        <v>23189987</v>
      </c>
      <c r="T41">
        <v>15593882</v>
      </c>
      <c r="U41">
        <v>78.45</v>
      </c>
      <c r="V41">
        <v>8.92</v>
      </c>
      <c r="W41">
        <v>3614</v>
      </c>
      <c r="X41">
        <v>3.21</v>
      </c>
      <c r="Y41">
        <v>82.94</v>
      </c>
    </row>
    <row r="42" spans="1:25" x14ac:dyDescent="0.3">
      <c r="A42" t="s">
        <v>30</v>
      </c>
      <c r="B42" t="s">
        <v>35</v>
      </c>
      <c r="C42" t="s">
        <v>40</v>
      </c>
      <c r="D42" s="1">
        <v>44237</v>
      </c>
      <c r="E42">
        <v>35814894</v>
      </c>
      <c r="F42">
        <v>13919</v>
      </c>
      <c r="G42">
        <v>26.5</v>
      </c>
      <c r="H42">
        <v>28388</v>
      </c>
      <c r="I42">
        <v>813425</v>
      </c>
      <c r="J42">
        <v>33932</v>
      </c>
      <c r="K42">
        <v>39720</v>
      </c>
      <c r="L42">
        <v>1758</v>
      </c>
      <c r="M42">
        <v>420127</v>
      </c>
      <c r="N42">
        <v>480679</v>
      </c>
      <c r="O42">
        <v>1291</v>
      </c>
      <c r="P42">
        <v>945793</v>
      </c>
      <c r="Q42">
        <v>14.12</v>
      </c>
      <c r="R42">
        <v>15273729</v>
      </c>
      <c r="S42">
        <v>38702416</v>
      </c>
      <c r="T42">
        <v>7647213</v>
      </c>
      <c r="U42">
        <v>59.62</v>
      </c>
      <c r="V42">
        <v>2.11</v>
      </c>
      <c r="W42">
        <v>4705</v>
      </c>
      <c r="X42">
        <v>3</v>
      </c>
      <c r="Y42">
        <v>5.97</v>
      </c>
    </row>
    <row r="43" spans="1:25" x14ac:dyDescent="0.3">
      <c r="A43" t="s">
        <v>30</v>
      </c>
      <c r="B43" t="s">
        <v>35</v>
      </c>
      <c r="C43" t="s">
        <v>40</v>
      </c>
      <c r="D43" s="1">
        <v>44238</v>
      </c>
      <c r="E43">
        <v>44681713</v>
      </c>
      <c r="F43">
        <v>11807</v>
      </c>
      <c r="G43">
        <v>37.6</v>
      </c>
      <c r="H43">
        <v>22029</v>
      </c>
      <c r="I43">
        <v>686852</v>
      </c>
      <c r="J43">
        <v>42243</v>
      </c>
      <c r="K43">
        <v>18010</v>
      </c>
      <c r="L43">
        <v>212</v>
      </c>
      <c r="M43">
        <v>897656</v>
      </c>
      <c r="N43">
        <v>255640</v>
      </c>
      <c r="O43">
        <v>5374</v>
      </c>
      <c r="P43">
        <v>307932</v>
      </c>
      <c r="Q43">
        <v>28.47</v>
      </c>
      <c r="R43">
        <v>3922874</v>
      </c>
      <c r="S43">
        <v>29664002</v>
      </c>
      <c r="T43">
        <v>9174968</v>
      </c>
      <c r="U43">
        <v>89.33</v>
      </c>
      <c r="V43">
        <v>5</v>
      </c>
      <c r="W43">
        <v>1754</v>
      </c>
      <c r="X43">
        <v>1.54</v>
      </c>
      <c r="Y43">
        <v>16.940000000000001</v>
      </c>
    </row>
    <row r="44" spans="1:25" x14ac:dyDescent="0.3">
      <c r="A44" t="s">
        <v>25</v>
      </c>
      <c r="B44" t="s">
        <v>34</v>
      </c>
      <c r="C44" t="s">
        <v>38</v>
      </c>
      <c r="D44" s="1">
        <v>44239</v>
      </c>
      <c r="E44">
        <v>44066194</v>
      </c>
      <c r="F44">
        <v>16704</v>
      </c>
      <c r="G44">
        <v>39.700000000000003</v>
      </c>
      <c r="H44">
        <v>54639</v>
      </c>
      <c r="I44">
        <v>677341</v>
      </c>
      <c r="J44">
        <v>26567</v>
      </c>
      <c r="K44">
        <v>13816</v>
      </c>
      <c r="L44">
        <v>1305</v>
      </c>
      <c r="M44">
        <v>152106</v>
      </c>
      <c r="N44">
        <v>254647</v>
      </c>
      <c r="O44">
        <v>9592</v>
      </c>
      <c r="P44">
        <v>267891</v>
      </c>
      <c r="Q44">
        <v>25.43</v>
      </c>
      <c r="R44">
        <v>23599376</v>
      </c>
      <c r="S44">
        <v>15851892</v>
      </c>
      <c r="T44">
        <v>17122400</v>
      </c>
      <c r="U44">
        <v>17.2</v>
      </c>
      <c r="V44">
        <v>9.73</v>
      </c>
      <c r="W44">
        <v>3495</v>
      </c>
      <c r="X44">
        <v>0.83</v>
      </c>
      <c r="Y44">
        <v>79.58</v>
      </c>
    </row>
    <row r="45" spans="1:25" x14ac:dyDescent="0.3">
      <c r="A45" t="s">
        <v>30</v>
      </c>
      <c r="B45" t="s">
        <v>35</v>
      </c>
      <c r="C45" t="s">
        <v>38</v>
      </c>
      <c r="D45" s="1">
        <v>44240</v>
      </c>
      <c r="E45">
        <v>4558848</v>
      </c>
      <c r="F45">
        <v>12308</v>
      </c>
      <c r="G45">
        <v>28.2</v>
      </c>
      <c r="H45">
        <v>15645</v>
      </c>
      <c r="I45">
        <v>287287</v>
      </c>
      <c r="J45">
        <v>32376</v>
      </c>
      <c r="K45">
        <v>47570</v>
      </c>
      <c r="L45">
        <v>40</v>
      </c>
      <c r="M45">
        <v>422897</v>
      </c>
      <c r="N45">
        <v>428677</v>
      </c>
      <c r="O45">
        <v>2655</v>
      </c>
      <c r="P45">
        <v>993326</v>
      </c>
      <c r="Q45">
        <v>9.99</v>
      </c>
      <c r="R45">
        <v>23996809</v>
      </c>
      <c r="S45">
        <v>1253159</v>
      </c>
      <c r="T45">
        <v>21656921</v>
      </c>
      <c r="U45">
        <v>42.07</v>
      </c>
      <c r="V45">
        <v>4.04</v>
      </c>
      <c r="W45">
        <v>4494</v>
      </c>
      <c r="X45">
        <v>1.91</v>
      </c>
      <c r="Y45">
        <v>0.11</v>
      </c>
    </row>
    <row r="46" spans="1:25" x14ac:dyDescent="0.3">
      <c r="A46" t="s">
        <v>28</v>
      </c>
      <c r="B46" t="s">
        <v>34</v>
      </c>
      <c r="C46" t="s">
        <v>40</v>
      </c>
      <c r="D46" s="1">
        <v>44241</v>
      </c>
      <c r="E46">
        <v>1309178</v>
      </c>
      <c r="F46">
        <v>2518</v>
      </c>
      <c r="G46">
        <v>45.1</v>
      </c>
      <c r="H46">
        <v>32105</v>
      </c>
      <c r="I46">
        <v>996107</v>
      </c>
      <c r="J46">
        <v>21922</v>
      </c>
      <c r="K46">
        <v>12819</v>
      </c>
      <c r="L46">
        <v>1145</v>
      </c>
      <c r="M46">
        <v>365713</v>
      </c>
      <c r="N46">
        <v>272559</v>
      </c>
      <c r="O46">
        <v>6513</v>
      </c>
      <c r="P46">
        <v>525333</v>
      </c>
      <c r="Q46">
        <v>12</v>
      </c>
      <c r="R46">
        <v>48625425</v>
      </c>
      <c r="S46">
        <v>7261969</v>
      </c>
      <c r="T46">
        <v>19671515</v>
      </c>
      <c r="U46">
        <v>83.28</v>
      </c>
      <c r="V46">
        <v>4.03</v>
      </c>
      <c r="W46">
        <v>2427</v>
      </c>
      <c r="X46">
        <v>2.13</v>
      </c>
      <c r="Y46">
        <v>28.24</v>
      </c>
    </row>
    <row r="47" spans="1:25" x14ac:dyDescent="0.3">
      <c r="A47" t="s">
        <v>26</v>
      </c>
      <c r="B47" t="s">
        <v>36</v>
      </c>
      <c r="C47" t="s">
        <v>41</v>
      </c>
      <c r="D47" s="1">
        <v>44242</v>
      </c>
      <c r="E47">
        <v>7434106</v>
      </c>
      <c r="F47">
        <v>14258</v>
      </c>
      <c r="G47">
        <v>48.3</v>
      </c>
      <c r="H47">
        <v>14668</v>
      </c>
      <c r="I47">
        <v>716637</v>
      </c>
      <c r="J47">
        <v>12388</v>
      </c>
      <c r="K47">
        <v>14865</v>
      </c>
      <c r="L47">
        <v>1250</v>
      </c>
      <c r="M47">
        <v>544784</v>
      </c>
      <c r="N47">
        <v>310212</v>
      </c>
      <c r="O47">
        <v>7394</v>
      </c>
      <c r="P47">
        <v>1013782</v>
      </c>
      <c r="Q47">
        <v>12.7</v>
      </c>
      <c r="R47">
        <v>12555029</v>
      </c>
      <c r="S47">
        <v>32461634</v>
      </c>
      <c r="T47">
        <v>22435115</v>
      </c>
      <c r="U47">
        <v>1.92</v>
      </c>
      <c r="V47">
        <v>2.35</v>
      </c>
      <c r="W47">
        <v>3281</v>
      </c>
      <c r="X47">
        <v>3.18</v>
      </c>
      <c r="Y47">
        <v>58.4</v>
      </c>
    </row>
    <row r="48" spans="1:25" x14ac:dyDescent="0.3">
      <c r="A48" t="s">
        <v>25</v>
      </c>
      <c r="B48" t="s">
        <v>32</v>
      </c>
      <c r="C48" t="s">
        <v>39</v>
      </c>
      <c r="D48" s="1">
        <v>44243</v>
      </c>
      <c r="E48">
        <v>41540759</v>
      </c>
      <c r="F48">
        <v>15092</v>
      </c>
      <c r="G48">
        <v>46.3</v>
      </c>
      <c r="H48">
        <v>16960</v>
      </c>
      <c r="I48">
        <v>108044</v>
      </c>
      <c r="J48">
        <v>29332</v>
      </c>
      <c r="K48">
        <v>41886</v>
      </c>
      <c r="L48">
        <v>293</v>
      </c>
      <c r="M48">
        <v>727949</v>
      </c>
      <c r="N48">
        <v>157691</v>
      </c>
      <c r="O48">
        <v>704</v>
      </c>
      <c r="P48">
        <v>1581622</v>
      </c>
      <c r="Q48">
        <v>18.79</v>
      </c>
      <c r="R48">
        <v>4850258</v>
      </c>
      <c r="S48">
        <v>36594365</v>
      </c>
      <c r="T48">
        <v>15142186</v>
      </c>
      <c r="U48">
        <v>11.22</v>
      </c>
      <c r="V48">
        <v>1.59</v>
      </c>
      <c r="W48">
        <v>2265</v>
      </c>
      <c r="X48">
        <v>4.58</v>
      </c>
      <c r="Y48">
        <v>59.54</v>
      </c>
    </row>
    <row r="49" spans="1:25" x14ac:dyDescent="0.3">
      <c r="A49" t="s">
        <v>26</v>
      </c>
      <c r="B49" t="s">
        <v>32</v>
      </c>
      <c r="C49" t="s">
        <v>39</v>
      </c>
      <c r="D49" s="1">
        <v>44244</v>
      </c>
      <c r="E49">
        <v>19839821</v>
      </c>
      <c r="F49">
        <v>15689</v>
      </c>
      <c r="G49">
        <v>41.7</v>
      </c>
      <c r="H49">
        <v>12357</v>
      </c>
      <c r="I49">
        <v>506173</v>
      </c>
      <c r="J49">
        <v>46737</v>
      </c>
      <c r="K49">
        <v>29398</v>
      </c>
      <c r="L49">
        <v>599</v>
      </c>
      <c r="M49">
        <v>106182</v>
      </c>
      <c r="N49">
        <v>271351</v>
      </c>
      <c r="O49">
        <v>825</v>
      </c>
      <c r="P49">
        <v>1829261</v>
      </c>
      <c r="Q49">
        <v>8.6</v>
      </c>
      <c r="R49">
        <v>25573433</v>
      </c>
      <c r="S49">
        <v>30042249</v>
      </c>
      <c r="T49">
        <v>22868254</v>
      </c>
      <c r="U49">
        <v>99.06</v>
      </c>
      <c r="V49">
        <v>7.53</v>
      </c>
      <c r="W49">
        <v>935</v>
      </c>
      <c r="X49">
        <v>0.28000000000000003</v>
      </c>
      <c r="Y49">
        <v>77.72</v>
      </c>
    </row>
    <row r="50" spans="1:25" x14ac:dyDescent="0.3">
      <c r="A50" t="s">
        <v>31</v>
      </c>
      <c r="B50" t="s">
        <v>34</v>
      </c>
      <c r="C50" t="s">
        <v>38</v>
      </c>
      <c r="D50" s="1">
        <v>44245</v>
      </c>
      <c r="E50">
        <v>31566661</v>
      </c>
      <c r="F50">
        <v>11596</v>
      </c>
      <c r="G50">
        <v>26.9</v>
      </c>
      <c r="H50">
        <v>65604</v>
      </c>
      <c r="I50">
        <v>182062</v>
      </c>
      <c r="J50">
        <v>23495</v>
      </c>
      <c r="K50">
        <v>6468</v>
      </c>
      <c r="L50">
        <v>1290</v>
      </c>
      <c r="M50">
        <v>346253</v>
      </c>
      <c r="N50">
        <v>55881</v>
      </c>
      <c r="O50">
        <v>9196</v>
      </c>
      <c r="P50">
        <v>912508</v>
      </c>
      <c r="Q50">
        <v>29.08</v>
      </c>
      <c r="R50">
        <v>4622900</v>
      </c>
      <c r="S50">
        <v>33749939</v>
      </c>
      <c r="T50">
        <v>28706676</v>
      </c>
      <c r="U50">
        <v>28.04</v>
      </c>
      <c r="V50">
        <v>7.82</v>
      </c>
      <c r="W50">
        <v>914</v>
      </c>
      <c r="X50">
        <v>1.29</v>
      </c>
      <c r="Y50">
        <v>50.59</v>
      </c>
    </row>
    <row r="51" spans="1:25" x14ac:dyDescent="0.3">
      <c r="A51" t="s">
        <v>28</v>
      </c>
      <c r="B51" t="s">
        <v>32</v>
      </c>
      <c r="C51" t="s">
        <v>39</v>
      </c>
      <c r="D51" s="1">
        <v>44246</v>
      </c>
      <c r="E51">
        <v>34775469</v>
      </c>
      <c r="F51">
        <v>12377</v>
      </c>
      <c r="G51">
        <v>27</v>
      </c>
      <c r="H51">
        <v>52796</v>
      </c>
      <c r="I51">
        <v>653694</v>
      </c>
      <c r="J51">
        <v>8434</v>
      </c>
      <c r="K51">
        <v>35534</v>
      </c>
      <c r="L51">
        <v>540</v>
      </c>
      <c r="M51">
        <v>509720</v>
      </c>
      <c r="N51">
        <v>266113</v>
      </c>
      <c r="O51">
        <v>376</v>
      </c>
      <c r="P51">
        <v>1728373</v>
      </c>
      <c r="Q51">
        <v>18.260000000000002</v>
      </c>
      <c r="R51">
        <v>25866240</v>
      </c>
      <c r="S51">
        <v>32445411</v>
      </c>
      <c r="T51">
        <v>26070464</v>
      </c>
      <c r="U51">
        <v>97.55</v>
      </c>
      <c r="V51">
        <v>9.7100000000000009</v>
      </c>
      <c r="W51">
        <v>3544</v>
      </c>
      <c r="X51">
        <v>1.05</v>
      </c>
      <c r="Y51">
        <v>50.94</v>
      </c>
    </row>
    <row r="52" spans="1:25" x14ac:dyDescent="0.3">
      <c r="A52" t="s">
        <v>27</v>
      </c>
      <c r="B52" t="s">
        <v>35</v>
      </c>
      <c r="C52" t="s">
        <v>40</v>
      </c>
      <c r="D52" s="1">
        <v>44247</v>
      </c>
      <c r="E52">
        <v>22784899</v>
      </c>
      <c r="F52">
        <v>14320</v>
      </c>
      <c r="G52">
        <v>48.8</v>
      </c>
      <c r="H52">
        <v>16804</v>
      </c>
      <c r="I52">
        <v>457104</v>
      </c>
      <c r="J52">
        <v>20991</v>
      </c>
      <c r="K52">
        <v>6863</v>
      </c>
      <c r="L52">
        <v>1782</v>
      </c>
      <c r="M52">
        <v>685265</v>
      </c>
      <c r="N52">
        <v>343227</v>
      </c>
      <c r="O52">
        <v>972</v>
      </c>
      <c r="P52">
        <v>1724521</v>
      </c>
      <c r="Q52">
        <v>11.98</v>
      </c>
      <c r="R52">
        <v>3538236</v>
      </c>
      <c r="S52">
        <v>7305626</v>
      </c>
      <c r="T52">
        <v>4362451</v>
      </c>
      <c r="U52">
        <v>18.25</v>
      </c>
      <c r="V52">
        <v>7.85</v>
      </c>
      <c r="W52">
        <v>3104</v>
      </c>
      <c r="X52">
        <v>2.56</v>
      </c>
      <c r="Y52">
        <v>72.53</v>
      </c>
    </row>
    <row r="53" spans="1:25" x14ac:dyDescent="0.3">
      <c r="A53" t="s">
        <v>28</v>
      </c>
      <c r="B53" t="s">
        <v>33</v>
      </c>
      <c r="C53" t="s">
        <v>40</v>
      </c>
      <c r="D53" s="1">
        <v>44248</v>
      </c>
      <c r="E53">
        <v>28898068</v>
      </c>
      <c r="F53">
        <v>15573</v>
      </c>
      <c r="G53">
        <v>18.3</v>
      </c>
      <c r="H53">
        <v>15626</v>
      </c>
      <c r="I53">
        <v>70351</v>
      </c>
      <c r="J53">
        <v>27472</v>
      </c>
      <c r="K53">
        <v>40487</v>
      </c>
      <c r="L53">
        <v>1851</v>
      </c>
      <c r="M53">
        <v>364134</v>
      </c>
      <c r="N53">
        <v>420686</v>
      </c>
      <c r="O53">
        <v>4213</v>
      </c>
      <c r="P53">
        <v>141926</v>
      </c>
      <c r="Q53">
        <v>19.350000000000001</v>
      </c>
      <c r="R53">
        <v>18859480</v>
      </c>
      <c r="S53">
        <v>8340133</v>
      </c>
      <c r="T53">
        <v>9632843</v>
      </c>
      <c r="U53">
        <v>36.11</v>
      </c>
      <c r="V53">
        <v>2.81</v>
      </c>
      <c r="W53">
        <v>835</v>
      </c>
      <c r="X53">
        <v>2.21</v>
      </c>
      <c r="Y53">
        <v>49.86</v>
      </c>
    </row>
    <row r="54" spans="1:25" x14ac:dyDescent="0.3">
      <c r="A54" t="s">
        <v>25</v>
      </c>
      <c r="B54" t="s">
        <v>34</v>
      </c>
      <c r="C54" t="s">
        <v>38</v>
      </c>
      <c r="D54" s="1">
        <v>44249</v>
      </c>
      <c r="E54">
        <v>17030109</v>
      </c>
      <c r="F54">
        <v>14350</v>
      </c>
      <c r="G54">
        <v>40.9</v>
      </c>
      <c r="H54">
        <v>29132</v>
      </c>
      <c r="I54">
        <v>491588</v>
      </c>
      <c r="J54">
        <v>40030</v>
      </c>
      <c r="K54">
        <v>32232</v>
      </c>
      <c r="L54">
        <v>450</v>
      </c>
      <c r="M54">
        <v>782760</v>
      </c>
      <c r="N54">
        <v>456011</v>
      </c>
      <c r="O54">
        <v>443</v>
      </c>
      <c r="P54">
        <v>184148</v>
      </c>
      <c r="Q54">
        <v>11.86</v>
      </c>
      <c r="R54">
        <v>21614051</v>
      </c>
      <c r="S54">
        <v>39899093</v>
      </c>
      <c r="T54">
        <v>25144353</v>
      </c>
      <c r="U54">
        <v>75.290000000000006</v>
      </c>
      <c r="V54">
        <v>0.88</v>
      </c>
      <c r="W54">
        <v>506</v>
      </c>
      <c r="X54">
        <v>3.67</v>
      </c>
      <c r="Y54">
        <v>60.85</v>
      </c>
    </row>
    <row r="55" spans="1:25" x14ac:dyDescent="0.3">
      <c r="A55" t="s">
        <v>27</v>
      </c>
      <c r="B55" t="s">
        <v>32</v>
      </c>
      <c r="C55" t="s">
        <v>38</v>
      </c>
      <c r="D55" s="1">
        <v>44250</v>
      </c>
      <c r="E55">
        <v>23695170</v>
      </c>
      <c r="F55">
        <v>10825</v>
      </c>
      <c r="G55">
        <v>40.6</v>
      </c>
      <c r="H55">
        <v>8951</v>
      </c>
      <c r="I55">
        <v>706359</v>
      </c>
      <c r="J55">
        <v>26849</v>
      </c>
      <c r="K55">
        <v>18330</v>
      </c>
      <c r="L55">
        <v>1472</v>
      </c>
      <c r="M55">
        <v>71825</v>
      </c>
      <c r="N55">
        <v>453738</v>
      </c>
      <c r="O55">
        <v>7519</v>
      </c>
      <c r="P55">
        <v>844382</v>
      </c>
      <c r="Q55">
        <v>24.53</v>
      </c>
      <c r="R55">
        <v>23696030</v>
      </c>
      <c r="S55">
        <v>22342050</v>
      </c>
      <c r="T55">
        <v>9159153</v>
      </c>
      <c r="U55">
        <v>65.78</v>
      </c>
      <c r="V55">
        <v>9.86</v>
      </c>
      <c r="W55">
        <v>394</v>
      </c>
      <c r="X55">
        <v>1.29</v>
      </c>
      <c r="Y55">
        <v>89.78</v>
      </c>
    </row>
    <row r="56" spans="1:25" x14ac:dyDescent="0.3">
      <c r="A56" t="s">
        <v>31</v>
      </c>
      <c r="B56" t="s">
        <v>34</v>
      </c>
      <c r="C56" t="s">
        <v>38</v>
      </c>
      <c r="D56" s="1">
        <v>44251</v>
      </c>
      <c r="E56">
        <v>28465074</v>
      </c>
      <c r="F56">
        <v>12315</v>
      </c>
      <c r="G56">
        <v>37.9</v>
      </c>
      <c r="H56">
        <v>7449</v>
      </c>
      <c r="I56">
        <v>235085</v>
      </c>
      <c r="J56">
        <v>1541</v>
      </c>
      <c r="K56">
        <v>28628</v>
      </c>
      <c r="L56">
        <v>1779</v>
      </c>
      <c r="M56">
        <v>553718</v>
      </c>
      <c r="N56">
        <v>8071</v>
      </c>
      <c r="O56">
        <v>754</v>
      </c>
      <c r="P56">
        <v>673709</v>
      </c>
      <c r="Q56">
        <v>17.04</v>
      </c>
      <c r="R56">
        <v>2701822</v>
      </c>
      <c r="S56">
        <v>2472385</v>
      </c>
      <c r="T56">
        <v>22089219</v>
      </c>
      <c r="U56">
        <v>58.11</v>
      </c>
      <c r="V56">
        <v>3.73</v>
      </c>
      <c r="W56">
        <v>603</v>
      </c>
      <c r="X56">
        <v>3.01</v>
      </c>
      <c r="Y56">
        <v>40.15</v>
      </c>
    </row>
    <row r="57" spans="1:25" x14ac:dyDescent="0.3">
      <c r="A57" t="s">
        <v>25</v>
      </c>
      <c r="B57" t="s">
        <v>34</v>
      </c>
      <c r="C57" t="s">
        <v>41</v>
      </c>
      <c r="D57" s="1">
        <v>44252</v>
      </c>
      <c r="E57">
        <v>35075901</v>
      </c>
      <c r="F57">
        <v>19509</v>
      </c>
      <c r="G57">
        <v>49.7</v>
      </c>
      <c r="H57">
        <v>20065</v>
      </c>
      <c r="I57">
        <v>759171</v>
      </c>
      <c r="J57">
        <v>2765</v>
      </c>
      <c r="K57">
        <v>45625</v>
      </c>
      <c r="L57">
        <v>1084</v>
      </c>
      <c r="M57">
        <v>377070</v>
      </c>
      <c r="N57">
        <v>359049</v>
      </c>
      <c r="O57">
        <v>4735</v>
      </c>
      <c r="P57">
        <v>1801164</v>
      </c>
      <c r="Q57">
        <v>1.26</v>
      </c>
      <c r="R57">
        <v>47088530</v>
      </c>
      <c r="S57">
        <v>1637346</v>
      </c>
      <c r="T57">
        <v>6780231</v>
      </c>
      <c r="U57">
        <v>52.99</v>
      </c>
      <c r="V57">
        <v>3.46</v>
      </c>
      <c r="W57">
        <v>837</v>
      </c>
      <c r="X57">
        <v>4.43</v>
      </c>
      <c r="Y57">
        <v>38.51</v>
      </c>
    </row>
    <row r="58" spans="1:25" x14ac:dyDescent="0.3">
      <c r="A58" t="s">
        <v>29</v>
      </c>
      <c r="B58" t="s">
        <v>33</v>
      </c>
      <c r="C58" t="s">
        <v>39</v>
      </c>
      <c r="D58" s="1">
        <v>44253</v>
      </c>
      <c r="E58">
        <v>24033566</v>
      </c>
      <c r="F58">
        <v>16723</v>
      </c>
      <c r="G58">
        <v>28</v>
      </c>
      <c r="H58">
        <v>10130</v>
      </c>
      <c r="I58">
        <v>499095</v>
      </c>
      <c r="J58">
        <v>43074</v>
      </c>
      <c r="K58">
        <v>17362</v>
      </c>
      <c r="L58">
        <v>1525</v>
      </c>
      <c r="M58">
        <v>18029</v>
      </c>
      <c r="N58">
        <v>255027</v>
      </c>
      <c r="O58">
        <v>5396</v>
      </c>
      <c r="P58">
        <v>1726284</v>
      </c>
      <c r="Q58">
        <v>5.3</v>
      </c>
      <c r="R58">
        <v>19416884</v>
      </c>
      <c r="S58">
        <v>26545736</v>
      </c>
      <c r="T58">
        <v>29536353</v>
      </c>
      <c r="U58">
        <v>84.34</v>
      </c>
      <c r="V58">
        <v>9.11</v>
      </c>
      <c r="W58">
        <v>1869</v>
      </c>
      <c r="X58">
        <v>4.5599999999999996</v>
      </c>
      <c r="Y58">
        <v>0.35</v>
      </c>
    </row>
    <row r="59" spans="1:25" x14ac:dyDescent="0.3">
      <c r="A59" t="s">
        <v>26</v>
      </c>
      <c r="B59" t="s">
        <v>35</v>
      </c>
      <c r="C59" t="s">
        <v>38</v>
      </c>
      <c r="D59" s="1">
        <v>44254</v>
      </c>
      <c r="E59">
        <v>6279277</v>
      </c>
      <c r="F59">
        <v>6664</v>
      </c>
      <c r="G59">
        <v>28.9</v>
      </c>
      <c r="H59">
        <v>63287</v>
      </c>
      <c r="I59">
        <v>71309</v>
      </c>
      <c r="J59">
        <v>37259</v>
      </c>
      <c r="K59">
        <v>7307</v>
      </c>
      <c r="L59">
        <v>1170</v>
      </c>
      <c r="M59">
        <v>578334</v>
      </c>
      <c r="N59">
        <v>287895</v>
      </c>
      <c r="O59">
        <v>3465</v>
      </c>
      <c r="P59">
        <v>1214944</v>
      </c>
      <c r="Q59">
        <v>25.95</v>
      </c>
      <c r="R59">
        <v>26714604</v>
      </c>
      <c r="S59">
        <v>9000050</v>
      </c>
      <c r="T59">
        <v>26201816</v>
      </c>
      <c r="U59">
        <v>23.49</v>
      </c>
      <c r="V59">
        <v>6.06</v>
      </c>
      <c r="W59">
        <v>754</v>
      </c>
      <c r="X59">
        <v>4.8</v>
      </c>
      <c r="Y59">
        <v>61.34</v>
      </c>
    </row>
    <row r="60" spans="1:25" x14ac:dyDescent="0.3">
      <c r="A60" t="s">
        <v>31</v>
      </c>
      <c r="B60" t="s">
        <v>34</v>
      </c>
      <c r="C60" t="s">
        <v>37</v>
      </c>
      <c r="D60" s="1">
        <v>44255</v>
      </c>
      <c r="E60">
        <v>44824346</v>
      </c>
      <c r="F60">
        <v>3302</v>
      </c>
      <c r="G60">
        <v>20.5</v>
      </c>
      <c r="H60">
        <v>52702</v>
      </c>
      <c r="I60">
        <v>930950</v>
      </c>
      <c r="J60">
        <v>29283</v>
      </c>
      <c r="K60">
        <v>27950</v>
      </c>
      <c r="L60">
        <v>1709</v>
      </c>
      <c r="M60">
        <v>270586</v>
      </c>
      <c r="N60">
        <v>319218</v>
      </c>
      <c r="O60">
        <v>2711</v>
      </c>
      <c r="P60">
        <v>495496</v>
      </c>
      <c r="Q60">
        <v>16.89</v>
      </c>
      <c r="R60">
        <v>11614972</v>
      </c>
      <c r="S60">
        <v>37310514</v>
      </c>
      <c r="T60">
        <v>24338894</v>
      </c>
      <c r="U60">
        <v>44.25</v>
      </c>
      <c r="V60">
        <v>2.54</v>
      </c>
      <c r="W60">
        <v>4957</v>
      </c>
      <c r="X60">
        <v>3.89</v>
      </c>
      <c r="Y60">
        <v>2.98</v>
      </c>
    </row>
    <row r="61" spans="1:25" x14ac:dyDescent="0.3">
      <c r="A61" t="s">
        <v>26</v>
      </c>
      <c r="B61" t="s">
        <v>32</v>
      </c>
      <c r="C61" t="s">
        <v>37</v>
      </c>
      <c r="D61" s="1">
        <v>44256</v>
      </c>
      <c r="E61">
        <v>3392371</v>
      </c>
      <c r="F61">
        <v>7465</v>
      </c>
      <c r="G61">
        <v>32.200000000000003</v>
      </c>
      <c r="H61">
        <v>37993</v>
      </c>
      <c r="I61">
        <v>687093</v>
      </c>
      <c r="J61">
        <v>35851</v>
      </c>
      <c r="K61">
        <v>49034</v>
      </c>
      <c r="L61">
        <v>1968</v>
      </c>
      <c r="M61">
        <v>794480</v>
      </c>
      <c r="N61">
        <v>494609</v>
      </c>
      <c r="O61">
        <v>2407</v>
      </c>
      <c r="P61">
        <v>20455</v>
      </c>
      <c r="Q61">
        <v>28.51</v>
      </c>
      <c r="R61">
        <v>32689149</v>
      </c>
      <c r="S61">
        <v>2315632</v>
      </c>
      <c r="T61">
        <v>17979419</v>
      </c>
      <c r="U61">
        <v>15.55</v>
      </c>
      <c r="V61">
        <v>8.9499999999999993</v>
      </c>
      <c r="W61">
        <v>1002</v>
      </c>
      <c r="X61">
        <v>4.54</v>
      </c>
      <c r="Y61">
        <v>50.41</v>
      </c>
    </row>
    <row r="62" spans="1:25" x14ac:dyDescent="0.3">
      <c r="A62" t="s">
        <v>30</v>
      </c>
      <c r="B62" t="s">
        <v>36</v>
      </c>
      <c r="C62" t="s">
        <v>40</v>
      </c>
      <c r="D62" s="1">
        <v>44257</v>
      </c>
      <c r="E62">
        <v>10700944</v>
      </c>
      <c r="F62">
        <v>16712</v>
      </c>
      <c r="G62">
        <v>26.4</v>
      </c>
      <c r="H62">
        <v>32875</v>
      </c>
      <c r="I62">
        <v>120156</v>
      </c>
      <c r="J62">
        <v>34625</v>
      </c>
      <c r="K62">
        <v>3213</v>
      </c>
      <c r="L62">
        <v>789</v>
      </c>
      <c r="M62">
        <v>412012</v>
      </c>
      <c r="N62">
        <v>23546</v>
      </c>
      <c r="O62">
        <v>8814</v>
      </c>
      <c r="P62">
        <v>735184</v>
      </c>
      <c r="Q62">
        <v>2.17</v>
      </c>
      <c r="R62">
        <v>28410005</v>
      </c>
      <c r="S62">
        <v>27778961</v>
      </c>
      <c r="T62">
        <v>7744200</v>
      </c>
      <c r="U62">
        <v>59.59</v>
      </c>
      <c r="V62">
        <v>9.94</v>
      </c>
      <c r="W62">
        <v>864</v>
      </c>
      <c r="X62">
        <v>1.25</v>
      </c>
      <c r="Y62">
        <v>80.42</v>
      </c>
    </row>
    <row r="63" spans="1:25" x14ac:dyDescent="0.3">
      <c r="A63" t="s">
        <v>29</v>
      </c>
      <c r="B63" t="s">
        <v>34</v>
      </c>
      <c r="C63" t="s">
        <v>39</v>
      </c>
      <c r="D63" s="1">
        <v>44258</v>
      </c>
      <c r="E63">
        <v>46776888</v>
      </c>
      <c r="F63">
        <v>11166</v>
      </c>
      <c r="G63">
        <v>29</v>
      </c>
      <c r="H63">
        <v>7054</v>
      </c>
      <c r="I63">
        <v>339144</v>
      </c>
      <c r="J63">
        <v>769</v>
      </c>
      <c r="K63">
        <v>39277</v>
      </c>
      <c r="L63">
        <v>333</v>
      </c>
      <c r="M63">
        <v>706876</v>
      </c>
      <c r="N63">
        <v>257519</v>
      </c>
      <c r="O63">
        <v>5588</v>
      </c>
      <c r="P63">
        <v>1514715</v>
      </c>
      <c r="Q63">
        <v>8.86</v>
      </c>
      <c r="R63">
        <v>39207958</v>
      </c>
      <c r="S63">
        <v>10120874</v>
      </c>
      <c r="T63">
        <v>19598721</v>
      </c>
      <c r="U63">
        <v>25.05</v>
      </c>
      <c r="V63">
        <v>1.32</v>
      </c>
      <c r="W63">
        <v>1598</v>
      </c>
      <c r="X63">
        <v>1.07</v>
      </c>
      <c r="Y63">
        <v>54.99</v>
      </c>
    </row>
    <row r="64" spans="1:25" x14ac:dyDescent="0.3">
      <c r="A64" t="s">
        <v>29</v>
      </c>
      <c r="B64" t="s">
        <v>34</v>
      </c>
      <c r="C64" t="s">
        <v>38</v>
      </c>
      <c r="D64" s="1">
        <v>44259</v>
      </c>
      <c r="E64">
        <v>24247415</v>
      </c>
      <c r="F64">
        <v>17014</v>
      </c>
      <c r="G64">
        <v>44.7</v>
      </c>
      <c r="H64">
        <v>49517</v>
      </c>
      <c r="I64">
        <v>442848</v>
      </c>
      <c r="J64">
        <v>17806</v>
      </c>
      <c r="K64">
        <v>37951</v>
      </c>
      <c r="L64">
        <v>1904</v>
      </c>
      <c r="M64">
        <v>622568</v>
      </c>
      <c r="N64">
        <v>169280</v>
      </c>
      <c r="O64">
        <v>6104</v>
      </c>
      <c r="P64">
        <v>1281473</v>
      </c>
      <c r="Q64">
        <v>5.81</v>
      </c>
      <c r="R64">
        <v>16681715</v>
      </c>
      <c r="S64">
        <v>14040843</v>
      </c>
      <c r="T64">
        <v>6758672</v>
      </c>
      <c r="U64">
        <v>33.380000000000003</v>
      </c>
      <c r="V64">
        <v>8.69</v>
      </c>
      <c r="W64">
        <v>193</v>
      </c>
      <c r="X64">
        <v>0.13</v>
      </c>
      <c r="Y64">
        <v>26.96</v>
      </c>
    </row>
    <row r="65" spans="1:25" x14ac:dyDescent="0.3">
      <c r="A65" t="s">
        <v>31</v>
      </c>
      <c r="B65" t="s">
        <v>33</v>
      </c>
      <c r="C65" t="s">
        <v>37</v>
      </c>
      <c r="D65" s="1">
        <v>44260</v>
      </c>
      <c r="E65">
        <v>11039669</v>
      </c>
      <c r="F65">
        <v>5008</v>
      </c>
      <c r="G65">
        <v>47.9</v>
      </c>
      <c r="H65">
        <v>30670</v>
      </c>
      <c r="I65">
        <v>22576</v>
      </c>
      <c r="J65">
        <v>24982</v>
      </c>
      <c r="K65">
        <v>17283</v>
      </c>
      <c r="L65">
        <v>1976</v>
      </c>
      <c r="M65">
        <v>262940</v>
      </c>
      <c r="N65">
        <v>468495</v>
      </c>
      <c r="O65">
        <v>5747</v>
      </c>
      <c r="P65">
        <v>433509</v>
      </c>
      <c r="Q65">
        <v>16.62</v>
      </c>
      <c r="R65">
        <v>7394518</v>
      </c>
      <c r="S65">
        <v>36470993</v>
      </c>
      <c r="T65">
        <v>25025337</v>
      </c>
      <c r="U65">
        <v>47.13</v>
      </c>
      <c r="V65">
        <v>4.21</v>
      </c>
      <c r="W65">
        <v>2827</v>
      </c>
      <c r="X65">
        <v>3.56</v>
      </c>
      <c r="Y65">
        <v>78.62</v>
      </c>
    </row>
    <row r="66" spans="1:25" x14ac:dyDescent="0.3">
      <c r="A66" t="s">
        <v>29</v>
      </c>
      <c r="B66" t="s">
        <v>35</v>
      </c>
      <c r="C66" t="s">
        <v>39</v>
      </c>
      <c r="D66" s="1">
        <v>44261</v>
      </c>
      <c r="E66">
        <v>20099352</v>
      </c>
      <c r="F66">
        <v>4326</v>
      </c>
      <c r="G66">
        <v>23.9</v>
      </c>
      <c r="H66">
        <v>50112</v>
      </c>
      <c r="I66">
        <v>528608</v>
      </c>
      <c r="J66">
        <v>2972</v>
      </c>
      <c r="K66">
        <v>25378</v>
      </c>
      <c r="L66">
        <v>890</v>
      </c>
      <c r="M66">
        <v>68445</v>
      </c>
      <c r="N66">
        <v>3923</v>
      </c>
      <c r="O66">
        <v>1723</v>
      </c>
      <c r="P66">
        <v>1542222</v>
      </c>
      <c r="Q66">
        <v>11.48</v>
      </c>
      <c r="R66">
        <v>2078850</v>
      </c>
      <c r="S66">
        <v>17472485</v>
      </c>
      <c r="T66">
        <v>11601022</v>
      </c>
      <c r="U66">
        <v>2.68</v>
      </c>
      <c r="V66">
        <v>5.48</v>
      </c>
      <c r="W66">
        <v>3816</v>
      </c>
      <c r="X66">
        <v>4.6900000000000004</v>
      </c>
      <c r="Y66">
        <v>26.97</v>
      </c>
    </row>
    <row r="67" spans="1:25" x14ac:dyDescent="0.3">
      <c r="A67" t="s">
        <v>27</v>
      </c>
      <c r="B67" t="s">
        <v>36</v>
      </c>
      <c r="C67" t="s">
        <v>40</v>
      </c>
      <c r="D67" s="1">
        <v>44262</v>
      </c>
      <c r="E67">
        <v>47608178</v>
      </c>
      <c r="F67">
        <v>4826</v>
      </c>
      <c r="G67">
        <v>29.9</v>
      </c>
      <c r="H67">
        <v>29307</v>
      </c>
      <c r="I67">
        <v>667110</v>
      </c>
      <c r="J67">
        <v>18256</v>
      </c>
      <c r="K67">
        <v>11660</v>
      </c>
      <c r="L67">
        <v>1165</v>
      </c>
      <c r="M67">
        <v>60480</v>
      </c>
      <c r="N67">
        <v>144626</v>
      </c>
      <c r="O67">
        <v>7224</v>
      </c>
      <c r="P67">
        <v>613840</v>
      </c>
      <c r="Q67">
        <v>4.72</v>
      </c>
      <c r="R67">
        <v>15397718</v>
      </c>
      <c r="S67">
        <v>16039813</v>
      </c>
      <c r="T67">
        <v>15579337</v>
      </c>
      <c r="U67">
        <v>9.19</v>
      </c>
      <c r="V67">
        <v>9.19</v>
      </c>
      <c r="W67">
        <v>3875</v>
      </c>
      <c r="X67">
        <v>1.02</v>
      </c>
      <c r="Y67">
        <v>73.3</v>
      </c>
    </row>
    <row r="68" spans="1:25" x14ac:dyDescent="0.3">
      <c r="A68" t="s">
        <v>29</v>
      </c>
      <c r="B68" t="s">
        <v>32</v>
      </c>
      <c r="C68" t="s">
        <v>41</v>
      </c>
      <c r="D68" s="1">
        <v>44263</v>
      </c>
      <c r="E68">
        <v>17792909</v>
      </c>
      <c r="F68">
        <v>17258</v>
      </c>
      <c r="G68">
        <v>47.7</v>
      </c>
      <c r="H68">
        <v>68087</v>
      </c>
      <c r="I68">
        <v>628290</v>
      </c>
      <c r="J68">
        <v>38367</v>
      </c>
      <c r="K68">
        <v>30994</v>
      </c>
      <c r="L68">
        <v>43</v>
      </c>
      <c r="M68">
        <v>843714</v>
      </c>
      <c r="N68">
        <v>135104</v>
      </c>
      <c r="O68">
        <v>1919</v>
      </c>
      <c r="P68">
        <v>833548</v>
      </c>
      <c r="Q68">
        <v>19.28</v>
      </c>
      <c r="R68">
        <v>44300435</v>
      </c>
      <c r="S68">
        <v>24764204</v>
      </c>
      <c r="T68">
        <v>8945160</v>
      </c>
      <c r="U68">
        <v>68.59</v>
      </c>
      <c r="V68">
        <v>9.75</v>
      </c>
      <c r="W68">
        <v>1266</v>
      </c>
      <c r="X68">
        <v>3.22</v>
      </c>
      <c r="Y68">
        <v>61.03</v>
      </c>
    </row>
    <row r="69" spans="1:25" x14ac:dyDescent="0.3">
      <c r="A69" t="s">
        <v>26</v>
      </c>
      <c r="B69" t="s">
        <v>36</v>
      </c>
      <c r="C69" t="s">
        <v>39</v>
      </c>
      <c r="D69" s="1">
        <v>44264</v>
      </c>
      <c r="E69">
        <v>19913938</v>
      </c>
      <c r="F69">
        <v>3882</v>
      </c>
      <c r="G69">
        <v>20</v>
      </c>
      <c r="H69">
        <v>48922</v>
      </c>
      <c r="I69">
        <v>185535</v>
      </c>
      <c r="J69">
        <v>18653</v>
      </c>
      <c r="K69">
        <v>41951</v>
      </c>
      <c r="L69">
        <v>143</v>
      </c>
      <c r="M69">
        <v>165801</v>
      </c>
      <c r="N69">
        <v>403536</v>
      </c>
      <c r="O69">
        <v>918</v>
      </c>
      <c r="P69">
        <v>383605</v>
      </c>
      <c r="Q69">
        <v>16.09</v>
      </c>
      <c r="R69">
        <v>47731068</v>
      </c>
      <c r="S69">
        <v>37916542</v>
      </c>
      <c r="T69">
        <v>26451230</v>
      </c>
      <c r="U69">
        <v>42.9</v>
      </c>
      <c r="V69">
        <v>2.99</v>
      </c>
      <c r="W69">
        <v>1857</v>
      </c>
      <c r="X69">
        <v>3.76</v>
      </c>
      <c r="Y69">
        <v>17</v>
      </c>
    </row>
    <row r="70" spans="1:25" x14ac:dyDescent="0.3">
      <c r="A70" t="s">
        <v>26</v>
      </c>
      <c r="B70" t="s">
        <v>32</v>
      </c>
      <c r="C70" t="s">
        <v>39</v>
      </c>
      <c r="D70" s="1">
        <v>44265</v>
      </c>
      <c r="E70">
        <v>17516233</v>
      </c>
      <c r="F70">
        <v>14951</v>
      </c>
      <c r="G70">
        <v>21</v>
      </c>
      <c r="H70">
        <v>64080</v>
      </c>
      <c r="I70">
        <v>27572</v>
      </c>
      <c r="J70">
        <v>38043</v>
      </c>
      <c r="K70">
        <v>7392</v>
      </c>
      <c r="L70">
        <v>1888</v>
      </c>
      <c r="M70">
        <v>621170</v>
      </c>
      <c r="N70">
        <v>205262</v>
      </c>
      <c r="O70">
        <v>4215</v>
      </c>
      <c r="P70">
        <v>565772</v>
      </c>
      <c r="Q70">
        <v>8.24</v>
      </c>
      <c r="R70">
        <v>34931239</v>
      </c>
      <c r="S70">
        <v>36381298</v>
      </c>
      <c r="T70">
        <v>4635073</v>
      </c>
      <c r="U70">
        <v>86.48</v>
      </c>
      <c r="V70">
        <v>2.52</v>
      </c>
      <c r="W70">
        <v>4520</v>
      </c>
      <c r="X70">
        <v>4.6500000000000004</v>
      </c>
      <c r="Y70">
        <v>90.51</v>
      </c>
    </row>
    <row r="71" spans="1:25" x14ac:dyDescent="0.3">
      <c r="A71" t="s">
        <v>25</v>
      </c>
      <c r="B71" t="s">
        <v>35</v>
      </c>
      <c r="C71" t="s">
        <v>41</v>
      </c>
      <c r="D71" s="1">
        <v>44266</v>
      </c>
      <c r="E71">
        <v>34996200</v>
      </c>
      <c r="F71">
        <v>5495</v>
      </c>
      <c r="G71">
        <v>23.2</v>
      </c>
      <c r="H71">
        <v>27312</v>
      </c>
      <c r="I71">
        <v>281092</v>
      </c>
      <c r="J71">
        <v>21133</v>
      </c>
      <c r="K71">
        <v>811</v>
      </c>
      <c r="L71">
        <v>332</v>
      </c>
      <c r="M71">
        <v>53944</v>
      </c>
      <c r="N71">
        <v>68065</v>
      </c>
      <c r="O71">
        <v>581</v>
      </c>
      <c r="P71">
        <v>948719</v>
      </c>
      <c r="Q71">
        <v>14.39</v>
      </c>
      <c r="R71">
        <v>28556408</v>
      </c>
      <c r="S71">
        <v>20161970</v>
      </c>
      <c r="T71">
        <v>2282583</v>
      </c>
      <c r="U71">
        <v>69.47</v>
      </c>
      <c r="V71">
        <v>1.26</v>
      </c>
      <c r="W71">
        <v>4822</v>
      </c>
      <c r="X71">
        <v>3.27</v>
      </c>
      <c r="Y71">
        <v>20.059999999999999</v>
      </c>
    </row>
    <row r="72" spans="1:25" x14ac:dyDescent="0.3">
      <c r="A72" t="s">
        <v>26</v>
      </c>
      <c r="B72" t="s">
        <v>32</v>
      </c>
      <c r="C72" t="s">
        <v>39</v>
      </c>
      <c r="D72" s="1">
        <v>44267</v>
      </c>
      <c r="E72">
        <v>49187387</v>
      </c>
      <c r="F72">
        <v>1430</v>
      </c>
      <c r="G72">
        <v>37</v>
      </c>
      <c r="H72">
        <v>67985</v>
      </c>
      <c r="I72">
        <v>521114</v>
      </c>
      <c r="J72">
        <v>39339</v>
      </c>
      <c r="K72">
        <v>41012</v>
      </c>
      <c r="L72">
        <v>997</v>
      </c>
      <c r="M72">
        <v>297680</v>
      </c>
      <c r="N72">
        <v>421524</v>
      </c>
      <c r="O72">
        <v>3881</v>
      </c>
      <c r="P72">
        <v>1393358</v>
      </c>
      <c r="Q72">
        <v>22.37</v>
      </c>
      <c r="R72">
        <v>7741734</v>
      </c>
      <c r="S72">
        <v>34196232</v>
      </c>
      <c r="T72">
        <v>896317</v>
      </c>
      <c r="U72">
        <v>0.81</v>
      </c>
      <c r="V72">
        <v>5.84</v>
      </c>
      <c r="W72">
        <v>2789</v>
      </c>
      <c r="X72">
        <v>4.8499999999999996</v>
      </c>
      <c r="Y72">
        <v>98.96</v>
      </c>
    </row>
    <row r="73" spans="1:25" x14ac:dyDescent="0.3">
      <c r="A73" t="s">
        <v>25</v>
      </c>
      <c r="B73" t="s">
        <v>33</v>
      </c>
      <c r="C73" t="s">
        <v>40</v>
      </c>
      <c r="D73" s="1">
        <v>44268</v>
      </c>
      <c r="E73">
        <v>10728691</v>
      </c>
      <c r="F73">
        <v>9915</v>
      </c>
      <c r="G73">
        <v>22.8</v>
      </c>
      <c r="H73">
        <v>58608</v>
      </c>
      <c r="I73">
        <v>641816</v>
      </c>
      <c r="J73">
        <v>25757</v>
      </c>
      <c r="K73">
        <v>46675</v>
      </c>
      <c r="L73">
        <v>1520</v>
      </c>
      <c r="M73">
        <v>509398</v>
      </c>
      <c r="N73">
        <v>466296</v>
      </c>
      <c r="O73">
        <v>9878</v>
      </c>
      <c r="P73">
        <v>659764</v>
      </c>
      <c r="Q73">
        <v>6.16</v>
      </c>
      <c r="R73">
        <v>11583943</v>
      </c>
      <c r="S73">
        <v>1413387</v>
      </c>
      <c r="T73">
        <v>10190866</v>
      </c>
      <c r="U73">
        <v>61.67</v>
      </c>
      <c r="V73">
        <v>0.63</v>
      </c>
      <c r="W73">
        <v>1339</v>
      </c>
      <c r="X73">
        <v>1.79</v>
      </c>
      <c r="Y73">
        <v>0.73</v>
      </c>
    </row>
    <row r="74" spans="1:25" x14ac:dyDescent="0.3">
      <c r="A74" t="s">
        <v>26</v>
      </c>
      <c r="B74" t="s">
        <v>33</v>
      </c>
      <c r="C74" t="s">
        <v>40</v>
      </c>
      <c r="D74" s="1">
        <v>44269</v>
      </c>
      <c r="E74">
        <v>42098278</v>
      </c>
      <c r="F74">
        <v>13976</v>
      </c>
      <c r="G74">
        <v>49</v>
      </c>
      <c r="H74">
        <v>41277</v>
      </c>
      <c r="I74">
        <v>695186</v>
      </c>
      <c r="J74">
        <v>37840</v>
      </c>
      <c r="K74">
        <v>47975</v>
      </c>
      <c r="L74">
        <v>1419</v>
      </c>
      <c r="M74">
        <v>260686</v>
      </c>
      <c r="N74">
        <v>272754</v>
      </c>
      <c r="O74">
        <v>3909</v>
      </c>
      <c r="P74">
        <v>169332</v>
      </c>
      <c r="Q74">
        <v>8.7899999999999991</v>
      </c>
      <c r="R74">
        <v>26617361</v>
      </c>
      <c r="S74">
        <v>22481011</v>
      </c>
      <c r="T74">
        <v>26355280</v>
      </c>
      <c r="U74">
        <v>9.3699999999999992</v>
      </c>
      <c r="V74">
        <v>4.41</v>
      </c>
      <c r="W74">
        <v>605</v>
      </c>
      <c r="X74">
        <v>1.81</v>
      </c>
      <c r="Y74">
        <v>26.35</v>
      </c>
    </row>
    <row r="75" spans="1:25" x14ac:dyDescent="0.3">
      <c r="A75" t="s">
        <v>27</v>
      </c>
      <c r="B75" t="s">
        <v>33</v>
      </c>
      <c r="C75" t="s">
        <v>41</v>
      </c>
      <c r="D75" s="1">
        <v>44270</v>
      </c>
      <c r="E75">
        <v>34520414</v>
      </c>
      <c r="F75">
        <v>19590</v>
      </c>
      <c r="G75">
        <v>32.299999999999997</v>
      </c>
      <c r="H75">
        <v>32551</v>
      </c>
      <c r="I75">
        <v>90051</v>
      </c>
      <c r="J75">
        <v>42399</v>
      </c>
      <c r="K75">
        <v>19743</v>
      </c>
      <c r="L75">
        <v>54</v>
      </c>
      <c r="M75">
        <v>826254</v>
      </c>
      <c r="N75">
        <v>437361</v>
      </c>
      <c r="O75">
        <v>1999</v>
      </c>
      <c r="P75">
        <v>1150223</v>
      </c>
      <c r="Q75">
        <v>10.38</v>
      </c>
      <c r="R75">
        <v>28680360</v>
      </c>
      <c r="S75">
        <v>7972439</v>
      </c>
      <c r="T75">
        <v>15780970</v>
      </c>
      <c r="U75">
        <v>78.09</v>
      </c>
      <c r="V75">
        <v>1.2</v>
      </c>
      <c r="W75">
        <v>912</v>
      </c>
      <c r="X75">
        <v>2.76</v>
      </c>
      <c r="Y75">
        <v>19.989999999999998</v>
      </c>
    </row>
    <row r="76" spans="1:25" x14ac:dyDescent="0.3">
      <c r="A76" t="s">
        <v>25</v>
      </c>
      <c r="B76" t="s">
        <v>33</v>
      </c>
      <c r="C76" t="s">
        <v>38</v>
      </c>
      <c r="D76" s="1">
        <v>44271</v>
      </c>
      <c r="E76">
        <v>34327578</v>
      </c>
      <c r="F76">
        <v>11630</v>
      </c>
      <c r="G76">
        <v>34</v>
      </c>
      <c r="H76">
        <v>57597</v>
      </c>
      <c r="I76">
        <v>815299</v>
      </c>
      <c r="J76">
        <v>44013</v>
      </c>
      <c r="K76">
        <v>9979</v>
      </c>
      <c r="L76">
        <v>1330</v>
      </c>
      <c r="M76">
        <v>683027</v>
      </c>
      <c r="N76">
        <v>141709</v>
      </c>
      <c r="O76">
        <v>400</v>
      </c>
      <c r="P76">
        <v>1639506</v>
      </c>
      <c r="Q76">
        <v>22.4</v>
      </c>
      <c r="R76">
        <v>27805594</v>
      </c>
      <c r="S76">
        <v>24479549</v>
      </c>
      <c r="T76">
        <v>29999088</v>
      </c>
      <c r="U76">
        <v>99.15</v>
      </c>
      <c r="V76">
        <v>4.3499999999999996</v>
      </c>
      <c r="W76">
        <v>2535</v>
      </c>
      <c r="X76">
        <v>1.98</v>
      </c>
      <c r="Y76">
        <v>1.4</v>
      </c>
    </row>
    <row r="77" spans="1:25" x14ac:dyDescent="0.3">
      <c r="A77" t="s">
        <v>28</v>
      </c>
      <c r="B77" t="s">
        <v>36</v>
      </c>
      <c r="C77" t="s">
        <v>37</v>
      </c>
      <c r="D77" s="1">
        <v>44272</v>
      </c>
      <c r="E77">
        <v>14407579</v>
      </c>
      <c r="F77">
        <v>5684</v>
      </c>
      <c r="G77">
        <v>25.9</v>
      </c>
      <c r="H77">
        <v>46212</v>
      </c>
      <c r="I77">
        <v>192303</v>
      </c>
      <c r="J77">
        <v>32069</v>
      </c>
      <c r="K77">
        <v>35979</v>
      </c>
      <c r="L77">
        <v>869</v>
      </c>
      <c r="M77">
        <v>838599</v>
      </c>
      <c r="N77">
        <v>465999</v>
      </c>
      <c r="O77">
        <v>3648</v>
      </c>
      <c r="P77">
        <v>1785667</v>
      </c>
      <c r="Q77">
        <v>25.41</v>
      </c>
      <c r="R77">
        <v>49141731</v>
      </c>
      <c r="S77">
        <v>4276977</v>
      </c>
      <c r="T77">
        <v>8689097</v>
      </c>
      <c r="U77">
        <v>53.12</v>
      </c>
      <c r="V77">
        <v>0.88</v>
      </c>
      <c r="W77">
        <v>2405</v>
      </c>
      <c r="X77">
        <v>0.11</v>
      </c>
      <c r="Y77">
        <v>73.239999999999995</v>
      </c>
    </row>
    <row r="78" spans="1:25" x14ac:dyDescent="0.3">
      <c r="A78" t="s">
        <v>30</v>
      </c>
      <c r="B78" t="s">
        <v>35</v>
      </c>
      <c r="C78" t="s">
        <v>38</v>
      </c>
      <c r="D78" s="1">
        <v>44273</v>
      </c>
      <c r="E78">
        <v>5953174</v>
      </c>
      <c r="F78">
        <v>5860</v>
      </c>
      <c r="G78">
        <v>33.1</v>
      </c>
      <c r="H78">
        <v>10637</v>
      </c>
      <c r="I78">
        <v>984766</v>
      </c>
      <c r="J78">
        <v>14706</v>
      </c>
      <c r="K78">
        <v>16743</v>
      </c>
      <c r="L78">
        <v>1446</v>
      </c>
      <c r="M78">
        <v>619315</v>
      </c>
      <c r="N78">
        <v>106035</v>
      </c>
      <c r="O78">
        <v>5445</v>
      </c>
      <c r="P78">
        <v>833441</v>
      </c>
      <c r="Q78">
        <v>11.29</v>
      </c>
      <c r="R78">
        <v>16424078</v>
      </c>
      <c r="S78">
        <v>16088423</v>
      </c>
      <c r="T78">
        <v>22482929</v>
      </c>
      <c r="U78">
        <v>68.28</v>
      </c>
      <c r="V78">
        <v>8.43</v>
      </c>
      <c r="W78">
        <v>1015</v>
      </c>
      <c r="X78">
        <v>3.69</v>
      </c>
      <c r="Y78">
        <v>69.34</v>
      </c>
    </row>
    <row r="79" spans="1:25" x14ac:dyDescent="0.3">
      <c r="A79" t="s">
        <v>31</v>
      </c>
      <c r="B79" t="s">
        <v>32</v>
      </c>
      <c r="C79" t="s">
        <v>39</v>
      </c>
      <c r="D79" s="1">
        <v>44274</v>
      </c>
      <c r="E79">
        <v>6624152</v>
      </c>
      <c r="F79">
        <v>10229</v>
      </c>
      <c r="G79">
        <v>39.200000000000003</v>
      </c>
      <c r="H79">
        <v>44258</v>
      </c>
      <c r="I79">
        <v>747716</v>
      </c>
      <c r="J79">
        <v>38231</v>
      </c>
      <c r="K79">
        <v>32459</v>
      </c>
      <c r="L79">
        <v>1440</v>
      </c>
      <c r="M79">
        <v>83837</v>
      </c>
      <c r="N79">
        <v>331378</v>
      </c>
      <c r="O79">
        <v>2628</v>
      </c>
      <c r="P79">
        <v>1011193</v>
      </c>
      <c r="Q79">
        <v>8.9</v>
      </c>
      <c r="R79">
        <v>19371705</v>
      </c>
      <c r="S79">
        <v>35804488</v>
      </c>
      <c r="T79">
        <v>14194998</v>
      </c>
      <c r="U79">
        <v>23.73</v>
      </c>
      <c r="V79">
        <v>2.4900000000000002</v>
      </c>
      <c r="W79">
        <v>2445</v>
      </c>
      <c r="X79">
        <v>3.78</v>
      </c>
      <c r="Y79">
        <v>79.239999999999995</v>
      </c>
    </row>
    <row r="80" spans="1:25" x14ac:dyDescent="0.3">
      <c r="A80" t="s">
        <v>26</v>
      </c>
      <c r="B80" t="s">
        <v>32</v>
      </c>
      <c r="C80" t="s">
        <v>37</v>
      </c>
      <c r="D80" s="1">
        <v>44275</v>
      </c>
      <c r="E80">
        <v>1664795</v>
      </c>
      <c r="F80">
        <v>12301</v>
      </c>
      <c r="G80">
        <v>42</v>
      </c>
      <c r="H80">
        <v>36693</v>
      </c>
      <c r="I80">
        <v>782700</v>
      </c>
      <c r="J80">
        <v>27909</v>
      </c>
      <c r="K80">
        <v>26153</v>
      </c>
      <c r="L80">
        <v>1696</v>
      </c>
      <c r="M80">
        <v>314112</v>
      </c>
      <c r="N80">
        <v>233805</v>
      </c>
      <c r="O80">
        <v>1656</v>
      </c>
      <c r="P80">
        <v>1178400</v>
      </c>
      <c r="Q80">
        <v>26.68</v>
      </c>
      <c r="R80">
        <v>18797828</v>
      </c>
      <c r="S80">
        <v>4833461</v>
      </c>
      <c r="T80">
        <v>17883547</v>
      </c>
      <c r="U80">
        <v>43.76</v>
      </c>
      <c r="V80">
        <v>3.62</v>
      </c>
      <c r="W80">
        <v>525</v>
      </c>
      <c r="X80">
        <v>3.76</v>
      </c>
      <c r="Y80">
        <v>25.67</v>
      </c>
    </row>
    <row r="81" spans="1:25" x14ac:dyDescent="0.3">
      <c r="A81" t="s">
        <v>29</v>
      </c>
      <c r="B81" t="s">
        <v>33</v>
      </c>
      <c r="C81" t="s">
        <v>41</v>
      </c>
      <c r="D81" s="1">
        <v>44276</v>
      </c>
      <c r="E81">
        <v>43832370</v>
      </c>
      <c r="F81">
        <v>13181</v>
      </c>
      <c r="G81">
        <v>42.1</v>
      </c>
      <c r="H81">
        <v>10824</v>
      </c>
      <c r="I81">
        <v>204305</v>
      </c>
      <c r="J81">
        <v>40218</v>
      </c>
      <c r="K81">
        <v>25715</v>
      </c>
      <c r="L81">
        <v>796</v>
      </c>
      <c r="M81">
        <v>73394</v>
      </c>
      <c r="N81">
        <v>334498</v>
      </c>
      <c r="O81">
        <v>620</v>
      </c>
      <c r="P81">
        <v>774202</v>
      </c>
      <c r="Q81">
        <v>29.98</v>
      </c>
      <c r="R81">
        <v>18602214</v>
      </c>
      <c r="S81">
        <v>11978217</v>
      </c>
      <c r="T81">
        <v>8135397</v>
      </c>
      <c r="U81">
        <v>85.61</v>
      </c>
      <c r="V81">
        <v>8.77</v>
      </c>
      <c r="W81">
        <v>1388</v>
      </c>
      <c r="X81">
        <v>1.79</v>
      </c>
      <c r="Y81">
        <v>44.43</v>
      </c>
    </row>
    <row r="82" spans="1:25" x14ac:dyDescent="0.3">
      <c r="A82" t="s">
        <v>26</v>
      </c>
      <c r="B82" t="s">
        <v>33</v>
      </c>
      <c r="C82" t="s">
        <v>41</v>
      </c>
      <c r="D82" s="1">
        <v>44277</v>
      </c>
      <c r="E82">
        <v>14267053</v>
      </c>
      <c r="F82">
        <v>19543</v>
      </c>
      <c r="G82">
        <v>36.5</v>
      </c>
      <c r="H82">
        <v>27950</v>
      </c>
      <c r="I82">
        <v>307822</v>
      </c>
      <c r="J82">
        <v>11095</v>
      </c>
      <c r="K82">
        <v>28373</v>
      </c>
      <c r="L82">
        <v>324</v>
      </c>
      <c r="M82">
        <v>446800</v>
      </c>
      <c r="N82">
        <v>254078</v>
      </c>
      <c r="O82">
        <v>246</v>
      </c>
      <c r="P82">
        <v>817037</v>
      </c>
      <c r="Q82">
        <v>20.11</v>
      </c>
      <c r="R82">
        <v>12804349</v>
      </c>
      <c r="S82">
        <v>34847952</v>
      </c>
      <c r="T82">
        <v>11340399</v>
      </c>
      <c r="U82">
        <v>16.739999999999998</v>
      </c>
      <c r="V82">
        <v>7.59</v>
      </c>
      <c r="W82">
        <v>574</v>
      </c>
      <c r="X82">
        <v>2.66</v>
      </c>
      <c r="Y82">
        <v>65.91</v>
      </c>
    </row>
    <row r="83" spans="1:25" x14ac:dyDescent="0.3">
      <c r="A83" t="s">
        <v>29</v>
      </c>
      <c r="B83" t="s">
        <v>34</v>
      </c>
      <c r="C83" t="s">
        <v>37</v>
      </c>
      <c r="D83" s="1">
        <v>44278</v>
      </c>
      <c r="E83">
        <v>2909381</v>
      </c>
      <c r="F83">
        <v>12757</v>
      </c>
      <c r="G83">
        <v>46.9</v>
      </c>
      <c r="H83">
        <v>24488</v>
      </c>
      <c r="I83">
        <v>894993</v>
      </c>
      <c r="J83">
        <v>20343</v>
      </c>
      <c r="K83">
        <v>30730</v>
      </c>
      <c r="L83">
        <v>1733</v>
      </c>
      <c r="M83">
        <v>587926</v>
      </c>
      <c r="N83">
        <v>144954</v>
      </c>
      <c r="O83">
        <v>5212</v>
      </c>
      <c r="P83">
        <v>1684743</v>
      </c>
      <c r="Q83">
        <v>29.7</v>
      </c>
      <c r="R83">
        <v>25698182</v>
      </c>
      <c r="S83">
        <v>2532230</v>
      </c>
      <c r="T83">
        <v>174811</v>
      </c>
      <c r="U83">
        <v>26.55</v>
      </c>
      <c r="V83">
        <v>2.58</v>
      </c>
      <c r="W83">
        <v>2621</v>
      </c>
      <c r="X83">
        <v>1.86</v>
      </c>
      <c r="Y83">
        <v>43.98</v>
      </c>
    </row>
    <row r="84" spans="1:25" x14ac:dyDescent="0.3">
      <c r="A84" t="s">
        <v>30</v>
      </c>
      <c r="B84" t="s">
        <v>35</v>
      </c>
      <c r="C84" t="s">
        <v>40</v>
      </c>
      <c r="D84" s="1">
        <v>44279</v>
      </c>
      <c r="E84">
        <v>47195860</v>
      </c>
      <c r="F84">
        <v>19674</v>
      </c>
      <c r="G84">
        <v>44.2</v>
      </c>
      <c r="H84">
        <v>1215</v>
      </c>
      <c r="I84">
        <v>800395</v>
      </c>
      <c r="J84">
        <v>26469</v>
      </c>
      <c r="K84">
        <v>9982</v>
      </c>
      <c r="L84">
        <v>1694</v>
      </c>
      <c r="M84">
        <v>285232</v>
      </c>
      <c r="N84">
        <v>377024</v>
      </c>
      <c r="O84">
        <v>3339</v>
      </c>
      <c r="P84">
        <v>1694691</v>
      </c>
      <c r="Q84">
        <v>19.8</v>
      </c>
      <c r="R84">
        <v>6817064</v>
      </c>
      <c r="S84">
        <v>29642000</v>
      </c>
      <c r="T84">
        <v>14858874</v>
      </c>
      <c r="U84">
        <v>44.54</v>
      </c>
      <c r="V84">
        <v>1.18</v>
      </c>
      <c r="W84">
        <v>611</v>
      </c>
      <c r="X84">
        <v>0.18</v>
      </c>
      <c r="Y84">
        <v>69.73</v>
      </c>
    </row>
    <row r="85" spans="1:25" x14ac:dyDescent="0.3">
      <c r="A85" t="s">
        <v>30</v>
      </c>
      <c r="B85" t="s">
        <v>36</v>
      </c>
      <c r="C85" t="s">
        <v>37</v>
      </c>
      <c r="D85" s="1">
        <v>44280</v>
      </c>
      <c r="E85">
        <v>41080924</v>
      </c>
      <c r="F85">
        <v>18283</v>
      </c>
      <c r="G85">
        <v>42.2</v>
      </c>
      <c r="H85">
        <v>12523</v>
      </c>
      <c r="I85">
        <v>458576</v>
      </c>
      <c r="J85">
        <v>1313</v>
      </c>
      <c r="K85">
        <v>33361</v>
      </c>
      <c r="L85">
        <v>79</v>
      </c>
      <c r="M85">
        <v>849833</v>
      </c>
      <c r="N85">
        <v>387788</v>
      </c>
      <c r="O85">
        <v>6758</v>
      </c>
      <c r="P85">
        <v>268724</v>
      </c>
      <c r="Q85">
        <v>22</v>
      </c>
      <c r="R85">
        <v>34429907</v>
      </c>
      <c r="S85">
        <v>20812918</v>
      </c>
      <c r="T85">
        <v>23034353</v>
      </c>
      <c r="U85">
        <v>71.22</v>
      </c>
      <c r="V85">
        <v>7.3</v>
      </c>
      <c r="W85">
        <v>3752</v>
      </c>
      <c r="X85">
        <v>2.86</v>
      </c>
      <c r="Y85">
        <v>63.4</v>
      </c>
    </row>
    <row r="86" spans="1:25" x14ac:dyDescent="0.3">
      <c r="A86" t="s">
        <v>30</v>
      </c>
      <c r="B86" t="s">
        <v>32</v>
      </c>
      <c r="C86" t="s">
        <v>39</v>
      </c>
      <c r="D86" s="1">
        <v>44281</v>
      </c>
      <c r="E86">
        <v>25586627</v>
      </c>
      <c r="F86">
        <v>2799</v>
      </c>
      <c r="G86">
        <v>19.8</v>
      </c>
      <c r="H86">
        <v>69689</v>
      </c>
      <c r="I86">
        <v>574722</v>
      </c>
      <c r="J86">
        <v>7847</v>
      </c>
      <c r="K86">
        <v>45497</v>
      </c>
      <c r="L86">
        <v>1054</v>
      </c>
      <c r="M86">
        <v>411387</v>
      </c>
      <c r="N86">
        <v>327831</v>
      </c>
      <c r="O86">
        <v>7086</v>
      </c>
      <c r="P86">
        <v>902334</v>
      </c>
      <c r="Q86">
        <v>11.66</v>
      </c>
      <c r="R86">
        <v>301065</v>
      </c>
      <c r="S86">
        <v>12414333</v>
      </c>
      <c r="T86">
        <v>15571187</v>
      </c>
      <c r="U86">
        <v>37.590000000000003</v>
      </c>
      <c r="V86">
        <v>4.21</v>
      </c>
      <c r="W86">
        <v>4714</v>
      </c>
      <c r="X86">
        <v>0.71</v>
      </c>
      <c r="Y86">
        <v>11.46</v>
      </c>
    </row>
    <row r="87" spans="1:25" x14ac:dyDescent="0.3">
      <c r="A87" t="s">
        <v>29</v>
      </c>
      <c r="B87" t="s">
        <v>34</v>
      </c>
      <c r="C87" t="s">
        <v>40</v>
      </c>
      <c r="D87" s="1">
        <v>44282</v>
      </c>
      <c r="E87">
        <v>12459207</v>
      </c>
      <c r="F87">
        <v>13206</v>
      </c>
      <c r="G87">
        <v>18.2</v>
      </c>
      <c r="H87">
        <v>24834</v>
      </c>
      <c r="I87">
        <v>67617</v>
      </c>
      <c r="J87">
        <v>9166</v>
      </c>
      <c r="K87">
        <v>36155</v>
      </c>
      <c r="L87">
        <v>984</v>
      </c>
      <c r="M87">
        <v>83538</v>
      </c>
      <c r="N87">
        <v>344482</v>
      </c>
      <c r="O87">
        <v>3010</v>
      </c>
      <c r="P87">
        <v>268544</v>
      </c>
      <c r="Q87">
        <v>12.99</v>
      </c>
      <c r="R87">
        <v>44046781</v>
      </c>
      <c r="S87">
        <v>33987505</v>
      </c>
      <c r="T87">
        <v>6920881</v>
      </c>
      <c r="U87">
        <v>92.77</v>
      </c>
      <c r="V87">
        <v>7.78</v>
      </c>
      <c r="W87">
        <v>1255</v>
      </c>
      <c r="X87">
        <v>0.49</v>
      </c>
      <c r="Y87">
        <v>78.099999999999994</v>
      </c>
    </row>
    <row r="88" spans="1:25" x14ac:dyDescent="0.3">
      <c r="A88" t="s">
        <v>26</v>
      </c>
      <c r="B88" t="s">
        <v>34</v>
      </c>
      <c r="C88" t="s">
        <v>41</v>
      </c>
      <c r="D88" s="1">
        <v>44283</v>
      </c>
      <c r="E88">
        <v>32793149</v>
      </c>
      <c r="F88">
        <v>16639</v>
      </c>
      <c r="G88">
        <v>24.8</v>
      </c>
      <c r="H88">
        <v>35474</v>
      </c>
      <c r="I88">
        <v>938773</v>
      </c>
      <c r="J88">
        <v>9930</v>
      </c>
      <c r="K88">
        <v>22422</v>
      </c>
      <c r="L88">
        <v>1135</v>
      </c>
      <c r="M88">
        <v>425361</v>
      </c>
      <c r="N88">
        <v>337964</v>
      </c>
      <c r="O88">
        <v>4719</v>
      </c>
      <c r="P88">
        <v>1744579</v>
      </c>
      <c r="Q88">
        <v>4.32</v>
      </c>
      <c r="R88">
        <v>43973529</v>
      </c>
      <c r="S88">
        <v>32918012</v>
      </c>
      <c r="T88">
        <v>20138560</v>
      </c>
      <c r="U88">
        <v>9.4499999999999993</v>
      </c>
      <c r="V88">
        <v>4.7300000000000004</v>
      </c>
      <c r="W88">
        <v>4083</v>
      </c>
      <c r="X88">
        <v>3.8</v>
      </c>
      <c r="Y88">
        <v>72.069999999999993</v>
      </c>
    </row>
    <row r="89" spans="1:25" x14ac:dyDescent="0.3">
      <c r="A89" t="s">
        <v>30</v>
      </c>
      <c r="B89" t="s">
        <v>32</v>
      </c>
      <c r="C89" t="s">
        <v>37</v>
      </c>
      <c r="D89" s="1">
        <v>44284</v>
      </c>
      <c r="E89">
        <v>20560832</v>
      </c>
      <c r="F89">
        <v>3500</v>
      </c>
      <c r="G89">
        <v>39.200000000000003</v>
      </c>
      <c r="H89">
        <v>44066</v>
      </c>
      <c r="I89">
        <v>642857</v>
      </c>
      <c r="J89">
        <v>3285</v>
      </c>
      <c r="K89">
        <v>24088</v>
      </c>
      <c r="L89">
        <v>557</v>
      </c>
      <c r="M89">
        <v>663497</v>
      </c>
      <c r="N89">
        <v>78104</v>
      </c>
      <c r="O89">
        <v>2368</v>
      </c>
      <c r="P89">
        <v>752545</v>
      </c>
      <c r="Q89">
        <v>24.68</v>
      </c>
      <c r="R89">
        <v>44919619</v>
      </c>
      <c r="S89">
        <v>30009435</v>
      </c>
      <c r="T89">
        <v>29250939</v>
      </c>
      <c r="U89">
        <v>37.08</v>
      </c>
      <c r="V89">
        <v>3.79</v>
      </c>
      <c r="W89">
        <v>3897</v>
      </c>
      <c r="X89">
        <v>0.15</v>
      </c>
      <c r="Y89">
        <v>65.58</v>
      </c>
    </row>
    <row r="90" spans="1:25" x14ac:dyDescent="0.3">
      <c r="A90" t="s">
        <v>27</v>
      </c>
      <c r="B90" t="s">
        <v>36</v>
      </c>
      <c r="C90" t="s">
        <v>38</v>
      </c>
      <c r="D90" s="1">
        <v>44285</v>
      </c>
      <c r="E90">
        <v>577175</v>
      </c>
      <c r="F90">
        <v>7264</v>
      </c>
      <c r="G90">
        <v>31.2</v>
      </c>
      <c r="H90">
        <v>11400</v>
      </c>
      <c r="I90">
        <v>732672</v>
      </c>
      <c r="J90">
        <v>35863</v>
      </c>
      <c r="K90">
        <v>22590</v>
      </c>
      <c r="L90">
        <v>864</v>
      </c>
      <c r="M90">
        <v>369855</v>
      </c>
      <c r="N90">
        <v>22172</v>
      </c>
      <c r="O90">
        <v>1839</v>
      </c>
      <c r="P90">
        <v>1046962</v>
      </c>
      <c r="Q90">
        <v>27.93</v>
      </c>
      <c r="R90">
        <v>24657125</v>
      </c>
      <c r="S90">
        <v>10475474</v>
      </c>
      <c r="T90">
        <v>19759618</v>
      </c>
      <c r="U90">
        <v>70.900000000000006</v>
      </c>
      <c r="V90">
        <v>4.79</v>
      </c>
      <c r="W90">
        <v>4251</v>
      </c>
      <c r="X90">
        <v>4.8</v>
      </c>
      <c r="Y90">
        <v>15.51</v>
      </c>
    </row>
    <row r="91" spans="1:25" x14ac:dyDescent="0.3">
      <c r="A91" t="s">
        <v>25</v>
      </c>
      <c r="B91" t="s">
        <v>34</v>
      </c>
      <c r="C91" t="s">
        <v>38</v>
      </c>
      <c r="D91" s="1">
        <v>44286</v>
      </c>
      <c r="E91">
        <v>11574355</v>
      </c>
      <c r="F91">
        <v>11864</v>
      </c>
      <c r="G91">
        <v>30.9</v>
      </c>
      <c r="H91">
        <v>11345</v>
      </c>
      <c r="I91">
        <v>884784</v>
      </c>
      <c r="J91">
        <v>16704</v>
      </c>
      <c r="K91">
        <v>14865</v>
      </c>
      <c r="L91">
        <v>716</v>
      </c>
      <c r="M91">
        <v>793854</v>
      </c>
      <c r="N91">
        <v>81115</v>
      </c>
      <c r="O91">
        <v>2903</v>
      </c>
      <c r="P91">
        <v>1932040</v>
      </c>
      <c r="Q91">
        <v>18.7</v>
      </c>
      <c r="R91">
        <v>44076567</v>
      </c>
      <c r="S91">
        <v>30807200</v>
      </c>
      <c r="T91">
        <v>19235022</v>
      </c>
      <c r="U91">
        <v>22.6</v>
      </c>
      <c r="V91">
        <v>7.61</v>
      </c>
      <c r="W91">
        <v>2288</v>
      </c>
      <c r="X91">
        <v>2.62</v>
      </c>
      <c r="Y91">
        <v>26.8</v>
      </c>
    </row>
    <row r="92" spans="1:25" x14ac:dyDescent="0.3">
      <c r="A92" t="s">
        <v>29</v>
      </c>
      <c r="B92" t="s">
        <v>34</v>
      </c>
      <c r="C92" t="s">
        <v>39</v>
      </c>
      <c r="D92" s="1">
        <v>44287</v>
      </c>
      <c r="E92">
        <v>19356024</v>
      </c>
      <c r="F92">
        <v>5191</v>
      </c>
      <c r="G92">
        <v>46.3</v>
      </c>
      <c r="H92">
        <v>34896</v>
      </c>
      <c r="I92">
        <v>867164</v>
      </c>
      <c r="J92">
        <v>18705</v>
      </c>
      <c r="K92">
        <v>36179</v>
      </c>
      <c r="L92">
        <v>1587</v>
      </c>
      <c r="M92">
        <v>618485</v>
      </c>
      <c r="N92">
        <v>225175</v>
      </c>
      <c r="O92">
        <v>6205</v>
      </c>
      <c r="P92">
        <v>128319</v>
      </c>
      <c r="Q92">
        <v>10.31</v>
      </c>
      <c r="R92">
        <v>44083277</v>
      </c>
      <c r="S92">
        <v>15831188</v>
      </c>
      <c r="T92">
        <v>22643635</v>
      </c>
      <c r="U92">
        <v>65.64</v>
      </c>
      <c r="V92">
        <v>9.07</v>
      </c>
      <c r="W92">
        <v>1210</v>
      </c>
      <c r="X92">
        <v>4.92</v>
      </c>
      <c r="Y92">
        <v>39.32</v>
      </c>
    </row>
    <row r="93" spans="1:25" x14ac:dyDescent="0.3">
      <c r="A93" t="s">
        <v>29</v>
      </c>
      <c r="B93" t="s">
        <v>35</v>
      </c>
      <c r="C93" t="s">
        <v>38</v>
      </c>
      <c r="D93" s="1">
        <v>44288</v>
      </c>
      <c r="E93">
        <v>20289002</v>
      </c>
      <c r="F93">
        <v>2758</v>
      </c>
      <c r="G93">
        <v>46.7</v>
      </c>
      <c r="H93">
        <v>29899</v>
      </c>
      <c r="I93">
        <v>511874</v>
      </c>
      <c r="J93">
        <v>555</v>
      </c>
      <c r="K93">
        <v>46414</v>
      </c>
      <c r="L93">
        <v>1673</v>
      </c>
      <c r="M93">
        <v>176293</v>
      </c>
      <c r="N93">
        <v>220110</v>
      </c>
      <c r="O93">
        <v>4395</v>
      </c>
      <c r="P93">
        <v>513193</v>
      </c>
      <c r="Q93">
        <v>4.62</v>
      </c>
      <c r="R93">
        <v>21556648</v>
      </c>
      <c r="S93">
        <v>12978292</v>
      </c>
      <c r="T93">
        <v>13543817</v>
      </c>
      <c r="U93">
        <v>16.420000000000002</v>
      </c>
      <c r="V93">
        <v>0.97</v>
      </c>
      <c r="W93">
        <v>4845</v>
      </c>
      <c r="X93">
        <v>0.38</v>
      </c>
      <c r="Y93">
        <v>27.99</v>
      </c>
    </row>
    <row r="94" spans="1:25" x14ac:dyDescent="0.3">
      <c r="A94" t="s">
        <v>26</v>
      </c>
      <c r="B94" t="s">
        <v>36</v>
      </c>
      <c r="C94" t="s">
        <v>37</v>
      </c>
      <c r="D94" s="1">
        <v>44289</v>
      </c>
      <c r="E94">
        <v>2058242</v>
      </c>
      <c r="F94">
        <v>18425</v>
      </c>
      <c r="G94">
        <v>47.1</v>
      </c>
      <c r="H94">
        <v>29229</v>
      </c>
      <c r="I94">
        <v>370792</v>
      </c>
      <c r="J94">
        <v>21323</v>
      </c>
      <c r="K94">
        <v>19579</v>
      </c>
      <c r="L94">
        <v>471</v>
      </c>
      <c r="M94">
        <v>450972</v>
      </c>
      <c r="N94">
        <v>72846</v>
      </c>
      <c r="O94">
        <v>5767</v>
      </c>
      <c r="P94">
        <v>1528965</v>
      </c>
      <c r="Q94">
        <v>7.95</v>
      </c>
      <c r="R94">
        <v>15378624</v>
      </c>
      <c r="S94">
        <v>11917769</v>
      </c>
      <c r="T94">
        <v>11156500</v>
      </c>
      <c r="U94">
        <v>5.6</v>
      </c>
      <c r="V94">
        <v>5.48</v>
      </c>
      <c r="W94">
        <v>3875</v>
      </c>
      <c r="X94">
        <v>2.96</v>
      </c>
      <c r="Y94">
        <v>22.78</v>
      </c>
    </row>
    <row r="95" spans="1:25" x14ac:dyDescent="0.3">
      <c r="A95" t="s">
        <v>29</v>
      </c>
      <c r="B95" t="s">
        <v>34</v>
      </c>
      <c r="C95" t="s">
        <v>37</v>
      </c>
      <c r="D95" s="1">
        <v>44290</v>
      </c>
      <c r="E95">
        <v>33148168</v>
      </c>
      <c r="F95">
        <v>15138</v>
      </c>
      <c r="G95">
        <v>28</v>
      </c>
      <c r="H95">
        <v>6583</v>
      </c>
      <c r="I95">
        <v>82494</v>
      </c>
      <c r="J95">
        <v>5432</v>
      </c>
      <c r="K95">
        <v>48516</v>
      </c>
      <c r="L95">
        <v>73</v>
      </c>
      <c r="M95">
        <v>776885</v>
      </c>
      <c r="N95">
        <v>176874</v>
      </c>
      <c r="O95">
        <v>3691</v>
      </c>
      <c r="P95">
        <v>107960</v>
      </c>
      <c r="Q95">
        <v>7.66</v>
      </c>
      <c r="R95">
        <v>41517456</v>
      </c>
      <c r="S95">
        <v>10971700</v>
      </c>
      <c r="T95">
        <v>14960420</v>
      </c>
      <c r="U95">
        <v>12.1</v>
      </c>
      <c r="V95">
        <v>0.81</v>
      </c>
      <c r="W95">
        <v>121</v>
      </c>
      <c r="X95">
        <v>1.81</v>
      </c>
      <c r="Y95">
        <v>80.540000000000006</v>
      </c>
    </row>
    <row r="96" spans="1:25" x14ac:dyDescent="0.3">
      <c r="A96" t="s">
        <v>29</v>
      </c>
      <c r="B96" t="s">
        <v>36</v>
      </c>
      <c r="C96" t="s">
        <v>38</v>
      </c>
      <c r="D96" s="1">
        <v>44291</v>
      </c>
      <c r="E96">
        <v>13574362</v>
      </c>
      <c r="F96">
        <v>11884</v>
      </c>
      <c r="G96">
        <v>40.1</v>
      </c>
      <c r="H96">
        <v>5897</v>
      </c>
      <c r="I96">
        <v>745265</v>
      </c>
      <c r="J96">
        <v>1386</v>
      </c>
      <c r="K96">
        <v>25748</v>
      </c>
      <c r="L96">
        <v>1576</v>
      </c>
      <c r="M96">
        <v>856438</v>
      </c>
      <c r="N96">
        <v>364504</v>
      </c>
      <c r="O96">
        <v>7470</v>
      </c>
      <c r="P96">
        <v>40015</v>
      </c>
      <c r="Q96">
        <v>18.41</v>
      </c>
      <c r="R96">
        <v>41838700</v>
      </c>
      <c r="S96">
        <v>10205997</v>
      </c>
      <c r="T96">
        <v>5533198</v>
      </c>
      <c r="U96">
        <v>93</v>
      </c>
      <c r="V96">
        <v>4.95</v>
      </c>
      <c r="W96">
        <v>804</v>
      </c>
      <c r="X96">
        <v>4.2300000000000004</v>
      </c>
      <c r="Y96">
        <v>63.82</v>
      </c>
    </row>
    <row r="97" spans="1:25" x14ac:dyDescent="0.3">
      <c r="A97" t="s">
        <v>30</v>
      </c>
      <c r="B97" t="s">
        <v>32</v>
      </c>
      <c r="C97" t="s">
        <v>37</v>
      </c>
      <c r="D97" s="1">
        <v>44292</v>
      </c>
      <c r="E97">
        <v>49875565</v>
      </c>
      <c r="F97">
        <v>12328</v>
      </c>
      <c r="G97">
        <v>26.7</v>
      </c>
      <c r="H97">
        <v>5567</v>
      </c>
      <c r="I97">
        <v>602513</v>
      </c>
      <c r="J97">
        <v>44007</v>
      </c>
      <c r="K97">
        <v>6782</v>
      </c>
      <c r="L97">
        <v>1502</v>
      </c>
      <c r="M97">
        <v>200515</v>
      </c>
      <c r="N97">
        <v>399373</v>
      </c>
      <c r="O97">
        <v>3841</v>
      </c>
      <c r="P97">
        <v>1383433</v>
      </c>
      <c r="Q97">
        <v>28.35</v>
      </c>
      <c r="R97">
        <v>36535063</v>
      </c>
      <c r="S97">
        <v>31799048</v>
      </c>
      <c r="T97">
        <v>25165142</v>
      </c>
      <c r="U97">
        <v>55.18</v>
      </c>
      <c r="V97">
        <v>8.91</v>
      </c>
      <c r="W97">
        <v>3902</v>
      </c>
      <c r="X97">
        <v>1.87</v>
      </c>
      <c r="Y97">
        <v>56.55</v>
      </c>
    </row>
    <row r="98" spans="1:25" x14ac:dyDescent="0.3">
      <c r="A98" t="s">
        <v>26</v>
      </c>
      <c r="B98" t="s">
        <v>33</v>
      </c>
      <c r="C98" t="s">
        <v>39</v>
      </c>
      <c r="D98" s="1">
        <v>44293</v>
      </c>
      <c r="E98">
        <v>38373885</v>
      </c>
      <c r="F98">
        <v>10064</v>
      </c>
      <c r="G98">
        <v>24.1</v>
      </c>
      <c r="H98">
        <v>14329</v>
      </c>
      <c r="I98">
        <v>83867</v>
      </c>
      <c r="J98">
        <v>10619</v>
      </c>
      <c r="K98">
        <v>24884</v>
      </c>
      <c r="L98">
        <v>588</v>
      </c>
      <c r="M98">
        <v>124838</v>
      </c>
      <c r="N98">
        <v>128359</v>
      </c>
      <c r="O98">
        <v>4348</v>
      </c>
      <c r="P98">
        <v>729165</v>
      </c>
      <c r="Q98">
        <v>1.45</v>
      </c>
      <c r="R98">
        <v>48125850</v>
      </c>
      <c r="S98">
        <v>39471077</v>
      </c>
      <c r="T98">
        <v>5642957</v>
      </c>
      <c r="U98">
        <v>79.63</v>
      </c>
      <c r="V98">
        <v>3.94</v>
      </c>
      <c r="W98">
        <v>954</v>
      </c>
      <c r="X98">
        <v>1.38</v>
      </c>
      <c r="Y98">
        <v>22.6</v>
      </c>
    </row>
    <row r="99" spans="1:25" x14ac:dyDescent="0.3">
      <c r="A99" t="s">
        <v>30</v>
      </c>
      <c r="B99" t="s">
        <v>34</v>
      </c>
      <c r="C99" t="s">
        <v>40</v>
      </c>
      <c r="D99" s="1">
        <v>44294</v>
      </c>
      <c r="E99">
        <v>22225224</v>
      </c>
      <c r="F99">
        <v>3323</v>
      </c>
      <c r="G99">
        <v>23.9</v>
      </c>
      <c r="H99">
        <v>1228</v>
      </c>
      <c r="I99">
        <v>169600</v>
      </c>
      <c r="J99">
        <v>6854</v>
      </c>
      <c r="K99">
        <v>19741</v>
      </c>
      <c r="L99">
        <v>1410</v>
      </c>
      <c r="M99">
        <v>28343</v>
      </c>
      <c r="N99">
        <v>31016</v>
      </c>
      <c r="O99">
        <v>6621</v>
      </c>
      <c r="P99">
        <v>933478</v>
      </c>
      <c r="Q99">
        <v>0.03</v>
      </c>
      <c r="R99">
        <v>15759622</v>
      </c>
      <c r="S99">
        <v>29677362</v>
      </c>
      <c r="T99">
        <v>25794761</v>
      </c>
      <c r="U99">
        <v>33.270000000000003</v>
      </c>
      <c r="V99">
        <v>9.36</v>
      </c>
      <c r="W99">
        <v>101</v>
      </c>
      <c r="X99">
        <v>4.3</v>
      </c>
      <c r="Y99">
        <v>91.81</v>
      </c>
    </row>
    <row r="100" spans="1:25" x14ac:dyDescent="0.3">
      <c r="A100" t="s">
        <v>25</v>
      </c>
      <c r="B100" t="s">
        <v>35</v>
      </c>
      <c r="C100" t="s">
        <v>39</v>
      </c>
      <c r="D100" s="1">
        <v>44295</v>
      </c>
      <c r="E100">
        <v>5945315</v>
      </c>
      <c r="F100">
        <v>14417</v>
      </c>
      <c r="G100">
        <v>28.9</v>
      </c>
      <c r="H100">
        <v>38052</v>
      </c>
      <c r="I100">
        <v>780957</v>
      </c>
      <c r="J100">
        <v>42964</v>
      </c>
      <c r="K100">
        <v>10141</v>
      </c>
      <c r="L100">
        <v>1722</v>
      </c>
      <c r="M100">
        <v>664906</v>
      </c>
      <c r="N100">
        <v>27368</v>
      </c>
      <c r="O100">
        <v>1392</v>
      </c>
      <c r="P100">
        <v>146109</v>
      </c>
      <c r="Q100">
        <v>18.010000000000002</v>
      </c>
      <c r="R100">
        <v>10283336</v>
      </c>
      <c r="S100">
        <v>22852982</v>
      </c>
      <c r="T100">
        <v>17352823</v>
      </c>
      <c r="U100">
        <v>59.27</v>
      </c>
      <c r="V100">
        <v>6.49</v>
      </c>
      <c r="W100">
        <v>2671</v>
      </c>
      <c r="X100">
        <v>1.94</v>
      </c>
      <c r="Y100">
        <v>19.12</v>
      </c>
    </row>
    <row r="101" spans="1:25" x14ac:dyDescent="0.3">
      <c r="A101" t="s">
        <v>25</v>
      </c>
      <c r="B101" t="s">
        <v>32</v>
      </c>
      <c r="C101" t="s">
        <v>39</v>
      </c>
      <c r="D101" s="1">
        <v>44296</v>
      </c>
      <c r="E101">
        <v>9052442</v>
      </c>
      <c r="F101">
        <v>4588</v>
      </c>
      <c r="G101">
        <v>31.8</v>
      </c>
      <c r="H101">
        <v>58769</v>
      </c>
      <c r="I101">
        <v>866404</v>
      </c>
      <c r="J101">
        <v>48801</v>
      </c>
      <c r="K101">
        <v>798</v>
      </c>
      <c r="L101">
        <v>1905</v>
      </c>
      <c r="M101">
        <v>365708</v>
      </c>
      <c r="N101">
        <v>175150</v>
      </c>
      <c r="O101">
        <v>6060</v>
      </c>
      <c r="P101">
        <v>478508</v>
      </c>
      <c r="Q101">
        <v>8.52</v>
      </c>
      <c r="R101">
        <v>3031402</v>
      </c>
      <c r="S101">
        <v>26388002</v>
      </c>
      <c r="T101">
        <v>10139272</v>
      </c>
      <c r="U101">
        <v>49.5</v>
      </c>
      <c r="V101">
        <v>9.3699999999999992</v>
      </c>
      <c r="W101">
        <v>3240</v>
      </c>
      <c r="X101">
        <v>0.18</v>
      </c>
      <c r="Y101">
        <v>79.5</v>
      </c>
    </row>
    <row r="102" spans="1:25" x14ac:dyDescent="0.3">
      <c r="A102" t="s">
        <v>30</v>
      </c>
      <c r="B102" t="s">
        <v>36</v>
      </c>
      <c r="C102" t="s">
        <v>37</v>
      </c>
      <c r="D102" s="1">
        <v>44297</v>
      </c>
      <c r="E102">
        <v>10118395</v>
      </c>
      <c r="F102">
        <v>12591</v>
      </c>
      <c r="G102">
        <v>44.6</v>
      </c>
      <c r="H102">
        <v>47032</v>
      </c>
      <c r="I102">
        <v>459818</v>
      </c>
      <c r="J102">
        <v>7637</v>
      </c>
      <c r="K102">
        <v>16194</v>
      </c>
      <c r="L102">
        <v>563</v>
      </c>
      <c r="M102">
        <v>228497</v>
      </c>
      <c r="N102">
        <v>244066</v>
      </c>
      <c r="O102">
        <v>4255</v>
      </c>
      <c r="P102">
        <v>1835927</v>
      </c>
      <c r="Q102">
        <v>26.42</v>
      </c>
      <c r="R102">
        <v>3436386</v>
      </c>
      <c r="S102">
        <v>30512977</v>
      </c>
      <c r="T102">
        <v>19291947</v>
      </c>
      <c r="U102">
        <v>94.57</v>
      </c>
      <c r="V102">
        <v>7.69</v>
      </c>
      <c r="W102">
        <v>3998</v>
      </c>
      <c r="X102">
        <v>2.0099999999999998</v>
      </c>
      <c r="Y102">
        <v>96.67</v>
      </c>
    </row>
    <row r="103" spans="1:25" x14ac:dyDescent="0.3">
      <c r="A103" t="s">
        <v>25</v>
      </c>
      <c r="B103" t="s">
        <v>32</v>
      </c>
      <c r="C103" t="s">
        <v>40</v>
      </c>
      <c r="D103" s="1">
        <v>44298</v>
      </c>
      <c r="E103">
        <v>37066791</v>
      </c>
      <c r="F103">
        <v>8762</v>
      </c>
      <c r="G103">
        <v>21.8</v>
      </c>
      <c r="H103">
        <v>34686</v>
      </c>
      <c r="I103">
        <v>883693</v>
      </c>
      <c r="J103">
        <v>21225</v>
      </c>
      <c r="K103">
        <v>30907</v>
      </c>
      <c r="L103">
        <v>1953</v>
      </c>
      <c r="M103">
        <v>126917</v>
      </c>
      <c r="N103">
        <v>23359</v>
      </c>
      <c r="O103">
        <v>4300</v>
      </c>
      <c r="P103">
        <v>934671</v>
      </c>
      <c r="Q103">
        <v>9.82</v>
      </c>
      <c r="R103">
        <v>33750393</v>
      </c>
      <c r="S103">
        <v>12576692</v>
      </c>
      <c r="T103">
        <v>9525030</v>
      </c>
      <c r="U103">
        <v>74.760000000000005</v>
      </c>
      <c r="V103">
        <v>1.48</v>
      </c>
      <c r="W103">
        <v>1337</v>
      </c>
      <c r="X103">
        <v>3.31</v>
      </c>
      <c r="Y103">
        <v>72.709999999999994</v>
      </c>
    </row>
    <row r="104" spans="1:25" x14ac:dyDescent="0.3">
      <c r="A104" t="s">
        <v>26</v>
      </c>
      <c r="B104" t="s">
        <v>34</v>
      </c>
      <c r="C104" t="s">
        <v>37</v>
      </c>
      <c r="D104" s="1">
        <v>44299</v>
      </c>
      <c r="E104">
        <v>10214177</v>
      </c>
      <c r="F104">
        <v>9218</v>
      </c>
      <c r="G104">
        <v>41.5</v>
      </c>
      <c r="H104">
        <v>64261</v>
      </c>
      <c r="I104">
        <v>616036</v>
      </c>
      <c r="J104">
        <v>45730</v>
      </c>
      <c r="K104">
        <v>2899</v>
      </c>
      <c r="L104">
        <v>1456</v>
      </c>
      <c r="M104">
        <v>117085</v>
      </c>
      <c r="N104">
        <v>446899</v>
      </c>
      <c r="O104">
        <v>3338</v>
      </c>
      <c r="P104">
        <v>1138330</v>
      </c>
      <c r="Q104">
        <v>8.69</v>
      </c>
      <c r="R104">
        <v>41291531</v>
      </c>
      <c r="S104">
        <v>6547652</v>
      </c>
      <c r="T104">
        <v>10656132</v>
      </c>
      <c r="U104">
        <v>73.05</v>
      </c>
      <c r="V104">
        <v>2.7</v>
      </c>
      <c r="W104">
        <v>4830</v>
      </c>
      <c r="X104">
        <v>1.35</v>
      </c>
      <c r="Y104">
        <v>99.29</v>
      </c>
    </row>
    <row r="105" spans="1:25" x14ac:dyDescent="0.3">
      <c r="A105" t="s">
        <v>31</v>
      </c>
      <c r="B105" t="s">
        <v>36</v>
      </c>
      <c r="C105" t="s">
        <v>41</v>
      </c>
      <c r="D105" s="1">
        <v>44300</v>
      </c>
      <c r="E105">
        <v>10305436</v>
      </c>
      <c r="F105">
        <v>3601</v>
      </c>
      <c r="G105">
        <v>35</v>
      </c>
      <c r="H105">
        <v>3809</v>
      </c>
      <c r="I105">
        <v>255265</v>
      </c>
      <c r="J105">
        <v>26739</v>
      </c>
      <c r="K105">
        <v>9579</v>
      </c>
      <c r="L105">
        <v>1435</v>
      </c>
      <c r="M105">
        <v>555134</v>
      </c>
      <c r="N105">
        <v>79500</v>
      </c>
      <c r="O105">
        <v>5487</v>
      </c>
      <c r="P105">
        <v>222775</v>
      </c>
      <c r="Q105">
        <v>8.09</v>
      </c>
      <c r="R105">
        <v>3746050</v>
      </c>
      <c r="S105">
        <v>22911000</v>
      </c>
      <c r="T105">
        <v>4249112</v>
      </c>
      <c r="U105">
        <v>4.6399999999999997</v>
      </c>
      <c r="V105">
        <v>4.24</v>
      </c>
      <c r="W105">
        <v>1822</v>
      </c>
      <c r="X105">
        <v>2.2200000000000002</v>
      </c>
      <c r="Y105">
        <v>65.11</v>
      </c>
    </row>
    <row r="106" spans="1:25" x14ac:dyDescent="0.3">
      <c r="A106" t="s">
        <v>30</v>
      </c>
      <c r="B106" t="s">
        <v>33</v>
      </c>
      <c r="C106" t="s">
        <v>37</v>
      </c>
      <c r="D106" s="1">
        <v>44301</v>
      </c>
      <c r="E106">
        <v>7704776</v>
      </c>
      <c r="F106">
        <v>12347</v>
      </c>
      <c r="G106">
        <v>27.2</v>
      </c>
      <c r="H106">
        <v>42785</v>
      </c>
      <c r="I106">
        <v>520493</v>
      </c>
      <c r="J106">
        <v>47708</v>
      </c>
      <c r="K106">
        <v>21667</v>
      </c>
      <c r="L106">
        <v>466</v>
      </c>
      <c r="M106">
        <v>219856</v>
      </c>
      <c r="N106">
        <v>296537</v>
      </c>
      <c r="O106">
        <v>3514</v>
      </c>
      <c r="P106">
        <v>1354868</v>
      </c>
      <c r="Q106">
        <v>4.3499999999999996</v>
      </c>
      <c r="R106">
        <v>4126030</v>
      </c>
      <c r="S106">
        <v>35888163</v>
      </c>
      <c r="T106">
        <v>17700663</v>
      </c>
      <c r="U106">
        <v>54.97</v>
      </c>
      <c r="V106">
        <v>2.12</v>
      </c>
      <c r="W106">
        <v>3952</v>
      </c>
      <c r="X106">
        <v>0.38</v>
      </c>
      <c r="Y106">
        <v>21.75</v>
      </c>
    </row>
    <row r="107" spans="1:25" x14ac:dyDescent="0.3">
      <c r="A107" t="s">
        <v>27</v>
      </c>
      <c r="B107" t="s">
        <v>32</v>
      </c>
      <c r="C107" t="s">
        <v>37</v>
      </c>
      <c r="D107" s="1">
        <v>44302</v>
      </c>
      <c r="E107">
        <v>20486039</v>
      </c>
      <c r="F107">
        <v>11015</v>
      </c>
      <c r="G107">
        <v>33.799999999999997</v>
      </c>
      <c r="H107">
        <v>37547</v>
      </c>
      <c r="I107">
        <v>165404</v>
      </c>
      <c r="J107">
        <v>10618</v>
      </c>
      <c r="K107">
        <v>10151</v>
      </c>
      <c r="L107">
        <v>598</v>
      </c>
      <c r="M107">
        <v>385796</v>
      </c>
      <c r="N107">
        <v>111681</v>
      </c>
      <c r="O107">
        <v>759</v>
      </c>
      <c r="P107">
        <v>728513</v>
      </c>
      <c r="Q107">
        <v>17.45</v>
      </c>
      <c r="R107">
        <v>43447817</v>
      </c>
      <c r="S107">
        <v>12520921</v>
      </c>
      <c r="T107">
        <v>7551209</v>
      </c>
      <c r="U107">
        <v>46.7</v>
      </c>
      <c r="V107">
        <v>5.2</v>
      </c>
      <c r="W107">
        <v>3970</v>
      </c>
      <c r="X107">
        <v>2.98</v>
      </c>
      <c r="Y107">
        <v>20.38</v>
      </c>
    </row>
    <row r="108" spans="1:25" x14ac:dyDescent="0.3">
      <c r="A108" t="s">
        <v>27</v>
      </c>
      <c r="B108" t="s">
        <v>34</v>
      </c>
      <c r="C108" t="s">
        <v>37</v>
      </c>
      <c r="D108" s="1">
        <v>44303</v>
      </c>
      <c r="E108">
        <v>5551646</v>
      </c>
      <c r="F108">
        <v>2882</v>
      </c>
      <c r="G108">
        <v>27.6</v>
      </c>
      <c r="H108">
        <v>43818</v>
      </c>
      <c r="I108">
        <v>911913</v>
      </c>
      <c r="J108">
        <v>36561</v>
      </c>
      <c r="K108">
        <v>19666</v>
      </c>
      <c r="L108">
        <v>1644</v>
      </c>
      <c r="M108">
        <v>898701</v>
      </c>
      <c r="N108">
        <v>7143</v>
      </c>
      <c r="O108">
        <v>9915</v>
      </c>
      <c r="P108">
        <v>677894</v>
      </c>
      <c r="Q108">
        <v>5.05</v>
      </c>
      <c r="R108">
        <v>29263648</v>
      </c>
      <c r="S108">
        <v>13525214</v>
      </c>
      <c r="T108">
        <v>2664056</v>
      </c>
      <c r="U108">
        <v>92.78</v>
      </c>
      <c r="V108">
        <v>4.9800000000000004</v>
      </c>
      <c r="W108">
        <v>999</v>
      </c>
      <c r="X108">
        <v>3.81</v>
      </c>
      <c r="Y108">
        <v>32.46</v>
      </c>
    </row>
    <row r="109" spans="1:25" x14ac:dyDescent="0.3">
      <c r="A109" t="s">
        <v>29</v>
      </c>
      <c r="B109" t="s">
        <v>35</v>
      </c>
      <c r="C109" t="s">
        <v>40</v>
      </c>
      <c r="D109" s="1">
        <v>44304</v>
      </c>
      <c r="E109">
        <v>4125654</v>
      </c>
      <c r="F109">
        <v>13472</v>
      </c>
      <c r="G109">
        <v>37.1</v>
      </c>
      <c r="H109">
        <v>66681</v>
      </c>
      <c r="I109">
        <v>654817</v>
      </c>
      <c r="J109">
        <v>7373</v>
      </c>
      <c r="K109">
        <v>21628</v>
      </c>
      <c r="L109">
        <v>991</v>
      </c>
      <c r="M109">
        <v>627179</v>
      </c>
      <c r="N109">
        <v>181602</v>
      </c>
      <c r="O109">
        <v>8621</v>
      </c>
      <c r="P109">
        <v>747355</v>
      </c>
      <c r="Q109">
        <v>12.74</v>
      </c>
      <c r="R109">
        <v>18919213</v>
      </c>
      <c r="S109">
        <v>27657055</v>
      </c>
      <c r="T109">
        <v>16589401</v>
      </c>
      <c r="U109">
        <v>25.73</v>
      </c>
      <c r="V109">
        <v>9.58</v>
      </c>
      <c r="W109">
        <v>3188</v>
      </c>
      <c r="X109">
        <v>2.13</v>
      </c>
      <c r="Y109">
        <v>0.71</v>
      </c>
    </row>
    <row r="110" spans="1:25" x14ac:dyDescent="0.3">
      <c r="A110" t="s">
        <v>25</v>
      </c>
      <c r="B110" t="s">
        <v>36</v>
      </c>
      <c r="C110" t="s">
        <v>37</v>
      </c>
      <c r="D110" s="1">
        <v>44305</v>
      </c>
      <c r="E110">
        <v>785711</v>
      </c>
      <c r="F110">
        <v>202</v>
      </c>
      <c r="G110">
        <v>31.9</v>
      </c>
      <c r="H110">
        <v>38333</v>
      </c>
      <c r="I110">
        <v>997433</v>
      </c>
      <c r="J110">
        <v>35281</v>
      </c>
      <c r="K110">
        <v>11944</v>
      </c>
      <c r="L110">
        <v>1932</v>
      </c>
      <c r="M110">
        <v>485100</v>
      </c>
      <c r="N110">
        <v>107109</v>
      </c>
      <c r="O110">
        <v>6793</v>
      </c>
      <c r="P110">
        <v>910222</v>
      </c>
      <c r="Q110">
        <v>13.83</v>
      </c>
      <c r="R110">
        <v>37633594</v>
      </c>
      <c r="S110">
        <v>2637588</v>
      </c>
      <c r="T110">
        <v>21730623</v>
      </c>
      <c r="U110">
        <v>26.98</v>
      </c>
      <c r="V110">
        <v>4.62</v>
      </c>
      <c r="W110">
        <v>2466</v>
      </c>
      <c r="X110">
        <v>2.16</v>
      </c>
      <c r="Y110">
        <v>68.17</v>
      </c>
    </row>
    <row r="111" spans="1:25" x14ac:dyDescent="0.3">
      <c r="A111" t="s">
        <v>27</v>
      </c>
      <c r="B111" t="s">
        <v>32</v>
      </c>
      <c r="C111" t="s">
        <v>40</v>
      </c>
      <c r="D111" s="1">
        <v>44306</v>
      </c>
      <c r="E111">
        <v>22555388</v>
      </c>
      <c r="F111">
        <v>11206</v>
      </c>
      <c r="G111">
        <v>23.3</v>
      </c>
      <c r="H111">
        <v>17576</v>
      </c>
      <c r="I111">
        <v>987710</v>
      </c>
      <c r="J111">
        <v>20187</v>
      </c>
      <c r="K111">
        <v>42547</v>
      </c>
      <c r="L111">
        <v>736</v>
      </c>
      <c r="M111">
        <v>447242</v>
      </c>
      <c r="N111">
        <v>301137</v>
      </c>
      <c r="O111">
        <v>2459</v>
      </c>
      <c r="P111">
        <v>1922086</v>
      </c>
      <c r="Q111">
        <v>0.61</v>
      </c>
      <c r="R111">
        <v>31305989</v>
      </c>
      <c r="S111">
        <v>39932433</v>
      </c>
      <c r="T111">
        <v>23225031</v>
      </c>
      <c r="U111">
        <v>41.13</v>
      </c>
      <c r="V111">
        <v>7.96</v>
      </c>
      <c r="W111">
        <v>2329</v>
      </c>
      <c r="X111">
        <v>0.53</v>
      </c>
      <c r="Y111">
        <v>26.87</v>
      </c>
    </row>
    <row r="112" spans="1:25" x14ac:dyDescent="0.3">
      <c r="A112" t="s">
        <v>29</v>
      </c>
      <c r="B112" t="s">
        <v>32</v>
      </c>
      <c r="C112" t="s">
        <v>38</v>
      </c>
      <c r="D112" s="1">
        <v>44307</v>
      </c>
      <c r="E112">
        <v>43566429</v>
      </c>
      <c r="F112">
        <v>11158</v>
      </c>
      <c r="G112">
        <v>21.7</v>
      </c>
      <c r="H112">
        <v>40405</v>
      </c>
      <c r="I112">
        <v>485353</v>
      </c>
      <c r="J112">
        <v>2327</v>
      </c>
      <c r="K112">
        <v>23296</v>
      </c>
      <c r="L112">
        <v>993</v>
      </c>
      <c r="M112">
        <v>860075</v>
      </c>
      <c r="N112">
        <v>433958</v>
      </c>
      <c r="O112">
        <v>5273</v>
      </c>
      <c r="P112">
        <v>1106455</v>
      </c>
      <c r="Q112">
        <v>0.5</v>
      </c>
      <c r="R112">
        <v>13739905</v>
      </c>
      <c r="S112">
        <v>15008397</v>
      </c>
      <c r="T112">
        <v>23758003</v>
      </c>
      <c r="U112">
        <v>24.34</v>
      </c>
      <c r="V112">
        <v>9.4499999999999993</v>
      </c>
      <c r="W112">
        <v>1475</v>
      </c>
      <c r="X112">
        <v>1.0900000000000001</v>
      </c>
      <c r="Y112">
        <v>81.52</v>
      </c>
    </row>
    <row r="113" spans="1:25" x14ac:dyDescent="0.3">
      <c r="A113" t="s">
        <v>31</v>
      </c>
      <c r="B113" t="s">
        <v>33</v>
      </c>
      <c r="C113" t="s">
        <v>41</v>
      </c>
      <c r="D113" s="1">
        <v>44308</v>
      </c>
      <c r="E113">
        <v>17853135</v>
      </c>
      <c r="F113">
        <v>2850</v>
      </c>
      <c r="G113">
        <v>35.5</v>
      </c>
      <c r="H113">
        <v>32601</v>
      </c>
      <c r="I113">
        <v>265395</v>
      </c>
      <c r="J113">
        <v>32391</v>
      </c>
      <c r="K113">
        <v>7622</v>
      </c>
      <c r="L113">
        <v>247</v>
      </c>
      <c r="M113">
        <v>823719</v>
      </c>
      <c r="N113">
        <v>209237</v>
      </c>
      <c r="O113">
        <v>1718</v>
      </c>
      <c r="P113">
        <v>120894</v>
      </c>
      <c r="Q113">
        <v>15.61</v>
      </c>
      <c r="R113">
        <v>6404892</v>
      </c>
      <c r="S113">
        <v>1565831</v>
      </c>
      <c r="T113">
        <v>25221976</v>
      </c>
      <c r="U113">
        <v>12.92</v>
      </c>
      <c r="V113">
        <v>8.83</v>
      </c>
      <c r="W113">
        <v>1634</v>
      </c>
      <c r="X113">
        <v>0.86</v>
      </c>
      <c r="Y113">
        <v>35.92</v>
      </c>
    </row>
    <row r="114" spans="1:25" x14ac:dyDescent="0.3">
      <c r="A114" t="s">
        <v>26</v>
      </c>
      <c r="B114" t="s">
        <v>33</v>
      </c>
      <c r="C114" t="s">
        <v>40</v>
      </c>
      <c r="D114" s="1">
        <v>44309</v>
      </c>
      <c r="E114">
        <v>15189949</v>
      </c>
      <c r="F114">
        <v>5360</v>
      </c>
      <c r="G114">
        <v>46.9</v>
      </c>
      <c r="H114">
        <v>68946</v>
      </c>
      <c r="I114">
        <v>964221</v>
      </c>
      <c r="J114">
        <v>41577</v>
      </c>
      <c r="K114">
        <v>32079</v>
      </c>
      <c r="L114">
        <v>1604</v>
      </c>
      <c r="M114">
        <v>820515</v>
      </c>
      <c r="N114">
        <v>162040</v>
      </c>
      <c r="O114">
        <v>9457</v>
      </c>
      <c r="P114">
        <v>591127</v>
      </c>
      <c r="Q114">
        <v>20.88</v>
      </c>
      <c r="R114">
        <v>24355446</v>
      </c>
      <c r="S114">
        <v>21063474</v>
      </c>
      <c r="T114">
        <v>16819567</v>
      </c>
      <c r="U114">
        <v>85.74</v>
      </c>
      <c r="V114">
        <v>2.48</v>
      </c>
      <c r="W114">
        <v>1096</v>
      </c>
      <c r="X114">
        <v>2.46</v>
      </c>
      <c r="Y114">
        <v>48</v>
      </c>
    </row>
    <row r="115" spans="1:25" x14ac:dyDescent="0.3">
      <c r="A115" t="s">
        <v>26</v>
      </c>
      <c r="B115" t="s">
        <v>35</v>
      </c>
      <c r="C115" t="s">
        <v>38</v>
      </c>
      <c r="D115" s="1">
        <v>44310</v>
      </c>
      <c r="E115">
        <v>31885867</v>
      </c>
      <c r="F115">
        <v>9994</v>
      </c>
      <c r="G115">
        <v>29</v>
      </c>
      <c r="H115">
        <v>68356</v>
      </c>
      <c r="I115">
        <v>886540</v>
      </c>
      <c r="J115">
        <v>18549</v>
      </c>
      <c r="K115">
        <v>16215</v>
      </c>
      <c r="L115">
        <v>1143</v>
      </c>
      <c r="M115">
        <v>144135</v>
      </c>
      <c r="N115">
        <v>288553</v>
      </c>
      <c r="O115">
        <v>5423</v>
      </c>
      <c r="P115">
        <v>1079332</v>
      </c>
      <c r="Q115">
        <v>28.26</v>
      </c>
      <c r="R115">
        <v>3429031</v>
      </c>
      <c r="S115">
        <v>16384443</v>
      </c>
      <c r="T115">
        <v>28817483</v>
      </c>
      <c r="U115">
        <v>55.83</v>
      </c>
      <c r="V115">
        <v>5.21</v>
      </c>
      <c r="W115">
        <v>2215</v>
      </c>
      <c r="X115">
        <v>2.69</v>
      </c>
      <c r="Y115">
        <v>96.57</v>
      </c>
    </row>
    <row r="116" spans="1:25" x14ac:dyDescent="0.3">
      <c r="A116" t="s">
        <v>26</v>
      </c>
      <c r="B116" t="s">
        <v>35</v>
      </c>
      <c r="C116" t="s">
        <v>40</v>
      </c>
      <c r="D116" s="1">
        <v>44311</v>
      </c>
      <c r="E116">
        <v>20608322</v>
      </c>
      <c r="F116">
        <v>2660</v>
      </c>
      <c r="G116">
        <v>41.5</v>
      </c>
      <c r="H116">
        <v>53116</v>
      </c>
      <c r="I116">
        <v>683387</v>
      </c>
      <c r="J116">
        <v>39220</v>
      </c>
      <c r="K116">
        <v>27341</v>
      </c>
      <c r="L116">
        <v>66</v>
      </c>
      <c r="M116">
        <v>177632</v>
      </c>
      <c r="N116">
        <v>285528</v>
      </c>
      <c r="O116">
        <v>1308</v>
      </c>
      <c r="P116">
        <v>669043</v>
      </c>
      <c r="Q116">
        <v>5.37</v>
      </c>
      <c r="R116">
        <v>27751264</v>
      </c>
      <c r="S116">
        <v>34498977</v>
      </c>
      <c r="T116">
        <v>14346888</v>
      </c>
      <c r="U116">
        <v>86.14</v>
      </c>
      <c r="V116">
        <v>3.8</v>
      </c>
      <c r="W116">
        <v>4073</v>
      </c>
      <c r="X116">
        <v>4.75</v>
      </c>
      <c r="Y116">
        <v>24.22</v>
      </c>
    </row>
    <row r="117" spans="1:25" x14ac:dyDescent="0.3">
      <c r="A117" t="s">
        <v>27</v>
      </c>
      <c r="B117" t="s">
        <v>34</v>
      </c>
      <c r="C117" t="s">
        <v>40</v>
      </c>
      <c r="D117" s="1">
        <v>44312</v>
      </c>
      <c r="E117">
        <v>9741354</v>
      </c>
      <c r="F117">
        <v>12117</v>
      </c>
      <c r="G117">
        <v>39.1</v>
      </c>
      <c r="H117">
        <v>63894</v>
      </c>
      <c r="I117">
        <v>98382</v>
      </c>
      <c r="J117">
        <v>7642</v>
      </c>
      <c r="K117">
        <v>13944</v>
      </c>
      <c r="L117">
        <v>572</v>
      </c>
      <c r="M117">
        <v>261109</v>
      </c>
      <c r="N117">
        <v>389045</v>
      </c>
      <c r="O117">
        <v>1050</v>
      </c>
      <c r="P117">
        <v>1230133</v>
      </c>
      <c r="Q117">
        <v>3.1</v>
      </c>
      <c r="R117">
        <v>48324284</v>
      </c>
      <c r="S117">
        <v>38362403</v>
      </c>
      <c r="T117">
        <v>17005193</v>
      </c>
      <c r="U117">
        <v>83.11</v>
      </c>
      <c r="V117">
        <v>4.3</v>
      </c>
      <c r="W117">
        <v>1226</v>
      </c>
      <c r="X117">
        <v>0.46</v>
      </c>
      <c r="Y117">
        <v>72.13</v>
      </c>
    </row>
    <row r="118" spans="1:25" x14ac:dyDescent="0.3">
      <c r="A118" t="s">
        <v>31</v>
      </c>
      <c r="B118" t="s">
        <v>34</v>
      </c>
      <c r="C118" t="s">
        <v>41</v>
      </c>
      <c r="D118" s="1">
        <v>44313</v>
      </c>
      <c r="E118">
        <v>48013151</v>
      </c>
      <c r="F118">
        <v>1154</v>
      </c>
      <c r="G118">
        <v>47.8</v>
      </c>
      <c r="H118">
        <v>35635</v>
      </c>
      <c r="I118">
        <v>480767</v>
      </c>
      <c r="J118">
        <v>14435</v>
      </c>
      <c r="K118">
        <v>10105</v>
      </c>
      <c r="L118">
        <v>1979</v>
      </c>
      <c r="M118">
        <v>646731</v>
      </c>
      <c r="N118">
        <v>113359</v>
      </c>
      <c r="O118">
        <v>5479</v>
      </c>
      <c r="P118">
        <v>1278879</v>
      </c>
      <c r="Q118">
        <v>1.56</v>
      </c>
      <c r="R118">
        <v>7888323</v>
      </c>
      <c r="S118">
        <v>25449021</v>
      </c>
      <c r="T118">
        <v>16472559</v>
      </c>
      <c r="U118">
        <v>28.2</v>
      </c>
      <c r="V118">
        <v>3.93</v>
      </c>
      <c r="W118">
        <v>2210</v>
      </c>
      <c r="X118">
        <v>3.04</v>
      </c>
      <c r="Y118">
        <v>75.510000000000005</v>
      </c>
    </row>
    <row r="119" spans="1:25" x14ac:dyDescent="0.3">
      <c r="A119" t="s">
        <v>27</v>
      </c>
      <c r="B119" t="s">
        <v>35</v>
      </c>
      <c r="C119" t="s">
        <v>39</v>
      </c>
      <c r="D119" s="1">
        <v>44314</v>
      </c>
      <c r="E119">
        <v>34476813</v>
      </c>
      <c r="F119">
        <v>10778</v>
      </c>
      <c r="G119">
        <v>44.3</v>
      </c>
      <c r="H119">
        <v>8465</v>
      </c>
      <c r="I119">
        <v>10583</v>
      </c>
      <c r="J119">
        <v>33760</v>
      </c>
      <c r="K119">
        <v>25968</v>
      </c>
      <c r="L119">
        <v>1350</v>
      </c>
      <c r="M119">
        <v>770322</v>
      </c>
      <c r="N119">
        <v>100904</v>
      </c>
      <c r="O119">
        <v>2249</v>
      </c>
      <c r="P119">
        <v>1453817</v>
      </c>
      <c r="Q119">
        <v>13.08</v>
      </c>
      <c r="R119">
        <v>33327427</v>
      </c>
      <c r="S119">
        <v>882816</v>
      </c>
      <c r="T119">
        <v>29420744</v>
      </c>
      <c r="U119">
        <v>54.77</v>
      </c>
      <c r="V119">
        <v>8.35</v>
      </c>
      <c r="W119">
        <v>1081</v>
      </c>
      <c r="X119">
        <v>2.68</v>
      </c>
      <c r="Y119">
        <v>22.1</v>
      </c>
    </row>
    <row r="120" spans="1:25" x14ac:dyDescent="0.3">
      <c r="A120" t="s">
        <v>25</v>
      </c>
      <c r="B120" t="s">
        <v>35</v>
      </c>
      <c r="C120" t="s">
        <v>39</v>
      </c>
      <c r="D120" s="1">
        <v>44315</v>
      </c>
      <c r="E120">
        <v>47097588</v>
      </c>
      <c r="F120">
        <v>7313</v>
      </c>
      <c r="G120">
        <v>36.1</v>
      </c>
      <c r="H120">
        <v>57754</v>
      </c>
      <c r="I120">
        <v>575675</v>
      </c>
      <c r="J120">
        <v>38192</v>
      </c>
      <c r="K120">
        <v>37018</v>
      </c>
      <c r="L120">
        <v>1943</v>
      </c>
      <c r="M120">
        <v>689550</v>
      </c>
      <c r="N120">
        <v>69100</v>
      </c>
      <c r="O120">
        <v>2809</v>
      </c>
      <c r="P120">
        <v>675075</v>
      </c>
      <c r="Q120">
        <v>18.690000000000001</v>
      </c>
      <c r="R120">
        <v>45325212</v>
      </c>
      <c r="S120">
        <v>496626</v>
      </c>
      <c r="T120">
        <v>24884029</v>
      </c>
      <c r="U120">
        <v>8.32</v>
      </c>
      <c r="V120">
        <v>4.8</v>
      </c>
      <c r="W120">
        <v>3338</v>
      </c>
      <c r="X120">
        <v>2.63</v>
      </c>
      <c r="Y120">
        <v>50.1</v>
      </c>
    </row>
    <row r="121" spans="1:25" x14ac:dyDescent="0.3">
      <c r="A121" t="s">
        <v>27</v>
      </c>
      <c r="B121" t="s">
        <v>36</v>
      </c>
      <c r="C121" t="s">
        <v>40</v>
      </c>
      <c r="D121" s="1">
        <v>44316</v>
      </c>
      <c r="E121">
        <v>25499678</v>
      </c>
      <c r="F121">
        <v>1964</v>
      </c>
      <c r="G121">
        <v>39</v>
      </c>
      <c r="H121">
        <v>39871</v>
      </c>
      <c r="I121">
        <v>286248</v>
      </c>
      <c r="J121">
        <v>4381</v>
      </c>
      <c r="K121">
        <v>18716</v>
      </c>
      <c r="L121">
        <v>702</v>
      </c>
      <c r="M121">
        <v>373877</v>
      </c>
      <c r="N121">
        <v>84279</v>
      </c>
      <c r="O121">
        <v>2921</v>
      </c>
      <c r="P121">
        <v>988601</v>
      </c>
      <c r="Q121">
        <v>25.22</v>
      </c>
      <c r="R121">
        <v>28101860</v>
      </c>
      <c r="S121">
        <v>20091220</v>
      </c>
      <c r="T121">
        <v>7495001</v>
      </c>
      <c r="U121">
        <v>91.53</v>
      </c>
      <c r="V121">
        <v>5.48</v>
      </c>
      <c r="W121">
        <v>4576</v>
      </c>
      <c r="X121">
        <v>4.38</v>
      </c>
      <c r="Y121">
        <v>35.020000000000003</v>
      </c>
    </row>
    <row r="122" spans="1:25" x14ac:dyDescent="0.3">
      <c r="A122" t="s">
        <v>31</v>
      </c>
      <c r="B122" t="s">
        <v>33</v>
      </c>
      <c r="C122" t="s">
        <v>37</v>
      </c>
      <c r="D122" s="1">
        <v>44317</v>
      </c>
      <c r="E122">
        <v>11559860</v>
      </c>
      <c r="F122">
        <v>19506</v>
      </c>
      <c r="G122">
        <v>46.7</v>
      </c>
      <c r="H122">
        <v>63874</v>
      </c>
      <c r="I122">
        <v>537512</v>
      </c>
      <c r="J122">
        <v>31047</v>
      </c>
      <c r="K122">
        <v>43526</v>
      </c>
      <c r="L122">
        <v>469</v>
      </c>
      <c r="M122">
        <v>226284</v>
      </c>
      <c r="N122">
        <v>455423</v>
      </c>
      <c r="O122">
        <v>4676</v>
      </c>
      <c r="P122">
        <v>492599</v>
      </c>
      <c r="Q122">
        <v>20.48</v>
      </c>
      <c r="R122">
        <v>49305277</v>
      </c>
      <c r="S122">
        <v>4426719</v>
      </c>
      <c r="T122">
        <v>12491994</v>
      </c>
      <c r="U122">
        <v>40.43</v>
      </c>
      <c r="V122">
        <v>9.83</v>
      </c>
      <c r="W122">
        <v>1365</v>
      </c>
      <c r="X122">
        <v>1.1100000000000001</v>
      </c>
      <c r="Y122">
        <v>77.19</v>
      </c>
    </row>
    <row r="123" spans="1:25" x14ac:dyDescent="0.3">
      <c r="A123" t="s">
        <v>31</v>
      </c>
      <c r="B123" t="s">
        <v>34</v>
      </c>
      <c r="C123" t="s">
        <v>38</v>
      </c>
      <c r="D123" s="1">
        <v>44318</v>
      </c>
      <c r="E123">
        <v>5400164</v>
      </c>
      <c r="F123">
        <v>456</v>
      </c>
      <c r="G123">
        <v>30.8</v>
      </c>
      <c r="H123">
        <v>30511</v>
      </c>
      <c r="I123">
        <v>848056</v>
      </c>
      <c r="J123">
        <v>19558</v>
      </c>
      <c r="K123">
        <v>38076</v>
      </c>
      <c r="L123">
        <v>492</v>
      </c>
      <c r="M123">
        <v>15425</v>
      </c>
      <c r="N123">
        <v>327293</v>
      </c>
      <c r="O123">
        <v>4041</v>
      </c>
      <c r="P123">
        <v>496283</v>
      </c>
      <c r="Q123">
        <v>6.25</v>
      </c>
      <c r="R123">
        <v>22771515</v>
      </c>
      <c r="S123">
        <v>7204563</v>
      </c>
      <c r="T123">
        <v>20417595</v>
      </c>
      <c r="U123">
        <v>39.369999999999997</v>
      </c>
      <c r="V123">
        <v>1.07</v>
      </c>
      <c r="W123">
        <v>942</v>
      </c>
      <c r="X123">
        <v>0.3</v>
      </c>
      <c r="Y123">
        <v>62.25</v>
      </c>
    </row>
    <row r="124" spans="1:25" x14ac:dyDescent="0.3">
      <c r="A124" t="s">
        <v>25</v>
      </c>
      <c r="B124" t="s">
        <v>33</v>
      </c>
      <c r="C124" t="s">
        <v>37</v>
      </c>
      <c r="D124" s="1">
        <v>44319</v>
      </c>
      <c r="E124">
        <v>10409551</v>
      </c>
      <c r="F124">
        <v>13739</v>
      </c>
      <c r="G124">
        <v>28.5</v>
      </c>
      <c r="H124">
        <v>49821</v>
      </c>
      <c r="I124">
        <v>450274</v>
      </c>
      <c r="J124">
        <v>30782</v>
      </c>
      <c r="K124">
        <v>31482</v>
      </c>
      <c r="L124">
        <v>1724</v>
      </c>
      <c r="M124">
        <v>742647</v>
      </c>
      <c r="N124">
        <v>291509</v>
      </c>
      <c r="O124">
        <v>2417</v>
      </c>
      <c r="P124">
        <v>618231</v>
      </c>
      <c r="Q124">
        <v>13.85</v>
      </c>
      <c r="R124">
        <v>7921275</v>
      </c>
      <c r="S124">
        <v>32861749</v>
      </c>
      <c r="T124">
        <v>3791838</v>
      </c>
      <c r="U124">
        <v>30.28</v>
      </c>
      <c r="V124">
        <v>5.14</v>
      </c>
      <c r="W124">
        <v>156</v>
      </c>
      <c r="X124">
        <v>3.39</v>
      </c>
      <c r="Y124">
        <v>47.6</v>
      </c>
    </row>
    <row r="125" spans="1:25" x14ac:dyDescent="0.3">
      <c r="A125" t="s">
        <v>31</v>
      </c>
      <c r="B125" t="s">
        <v>33</v>
      </c>
      <c r="C125" t="s">
        <v>37</v>
      </c>
      <c r="D125" s="1">
        <v>44320</v>
      </c>
      <c r="E125">
        <v>14452275</v>
      </c>
      <c r="F125">
        <v>216</v>
      </c>
      <c r="G125">
        <v>18.3</v>
      </c>
      <c r="H125">
        <v>66776</v>
      </c>
      <c r="I125">
        <v>891752</v>
      </c>
      <c r="J125">
        <v>4782</v>
      </c>
      <c r="K125">
        <v>34639</v>
      </c>
      <c r="L125">
        <v>662</v>
      </c>
      <c r="M125">
        <v>83684</v>
      </c>
      <c r="N125">
        <v>474806</v>
      </c>
      <c r="O125">
        <v>532</v>
      </c>
      <c r="P125">
        <v>743476</v>
      </c>
      <c r="Q125">
        <v>27.31</v>
      </c>
      <c r="R125">
        <v>10202707</v>
      </c>
      <c r="S125">
        <v>17231534</v>
      </c>
      <c r="T125">
        <v>15879826</v>
      </c>
      <c r="U125">
        <v>46.07</v>
      </c>
      <c r="V125">
        <v>7.85</v>
      </c>
      <c r="W125">
        <v>3130</v>
      </c>
      <c r="X125">
        <v>1.79</v>
      </c>
      <c r="Y125">
        <v>77.94</v>
      </c>
    </row>
    <row r="126" spans="1:25" x14ac:dyDescent="0.3">
      <c r="A126" t="s">
        <v>31</v>
      </c>
      <c r="B126" t="s">
        <v>35</v>
      </c>
      <c r="C126" t="s">
        <v>40</v>
      </c>
      <c r="D126" s="1">
        <v>44321</v>
      </c>
      <c r="E126">
        <v>6836356</v>
      </c>
      <c r="F126">
        <v>558</v>
      </c>
      <c r="G126">
        <v>44.4</v>
      </c>
      <c r="H126">
        <v>45462</v>
      </c>
      <c r="I126">
        <v>228444</v>
      </c>
      <c r="J126">
        <v>25881</v>
      </c>
      <c r="K126">
        <v>46920</v>
      </c>
      <c r="L126">
        <v>285</v>
      </c>
      <c r="M126">
        <v>601303</v>
      </c>
      <c r="N126">
        <v>260326</v>
      </c>
      <c r="O126">
        <v>9090</v>
      </c>
      <c r="P126">
        <v>149188</v>
      </c>
      <c r="Q126">
        <v>9.8000000000000007</v>
      </c>
      <c r="R126">
        <v>48504104</v>
      </c>
      <c r="S126">
        <v>8103974</v>
      </c>
      <c r="T126">
        <v>3951210</v>
      </c>
      <c r="U126">
        <v>25.18</v>
      </c>
      <c r="V126">
        <v>1.94</v>
      </c>
      <c r="W126">
        <v>794</v>
      </c>
      <c r="X126">
        <v>0.19</v>
      </c>
      <c r="Y126">
        <v>23.52</v>
      </c>
    </row>
    <row r="127" spans="1:25" x14ac:dyDescent="0.3">
      <c r="A127" t="s">
        <v>26</v>
      </c>
      <c r="B127" t="s">
        <v>36</v>
      </c>
      <c r="C127" t="s">
        <v>40</v>
      </c>
      <c r="D127" s="1">
        <v>44322</v>
      </c>
      <c r="E127">
        <v>22956258</v>
      </c>
      <c r="F127">
        <v>18095</v>
      </c>
      <c r="G127">
        <v>43.6</v>
      </c>
      <c r="H127">
        <v>62382</v>
      </c>
      <c r="I127">
        <v>947803</v>
      </c>
      <c r="J127">
        <v>40228</v>
      </c>
      <c r="K127">
        <v>23014</v>
      </c>
      <c r="L127">
        <v>1979</v>
      </c>
      <c r="M127">
        <v>199830</v>
      </c>
      <c r="N127">
        <v>23980</v>
      </c>
      <c r="O127">
        <v>8167</v>
      </c>
      <c r="P127">
        <v>562032</v>
      </c>
      <c r="Q127">
        <v>14.96</v>
      </c>
      <c r="R127">
        <v>45826774</v>
      </c>
      <c r="S127">
        <v>17055645</v>
      </c>
      <c r="T127">
        <v>5489189</v>
      </c>
      <c r="U127">
        <v>37.49</v>
      </c>
      <c r="V127">
        <v>6.31</v>
      </c>
      <c r="W127">
        <v>671</v>
      </c>
      <c r="X127">
        <v>1.33</v>
      </c>
      <c r="Y127">
        <v>75.36</v>
      </c>
    </row>
    <row r="128" spans="1:25" x14ac:dyDescent="0.3">
      <c r="A128" t="s">
        <v>25</v>
      </c>
      <c r="B128" t="s">
        <v>32</v>
      </c>
      <c r="C128" t="s">
        <v>40</v>
      </c>
      <c r="D128" s="1">
        <v>44323</v>
      </c>
      <c r="E128">
        <v>17678283</v>
      </c>
      <c r="F128">
        <v>3714</v>
      </c>
      <c r="G128">
        <v>21.3</v>
      </c>
      <c r="H128">
        <v>33574</v>
      </c>
      <c r="I128">
        <v>341716</v>
      </c>
      <c r="J128">
        <v>29409</v>
      </c>
      <c r="K128">
        <v>20441</v>
      </c>
      <c r="L128">
        <v>1937</v>
      </c>
      <c r="M128">
        <v>661215</v>
      </c>
      <c r="N128">
        <v>346823</v>
      </c>
      <c r="O128">
        <v>1469</v>
      </c>
      <c r="P128">
        <v>125697</v>
      </c>
      <c r="Q128">
        <v>28.76</v>
      </c>
      <c r="R128">
        <v>24098028</v>
      </c>
      <c r="S128">
        <v>32467206</v>
      </c>
      <c r="T128">
        <v>19157637</v>
      </c>
      <c r="U128">
        <v>79.989999999999995</v>
      </c>
      <c r="V128">
        <v>2.77</v>
      </c>
      <c r="W128">
        <v>4290</v>
      </c>
      <c r="X128">
        <v>1.62</v>
      </c>
      <c r="Y128">
        <v>86.54</v>
      </c>
    </row>
    <row r="129" spans="1:25" x14ac:dyDescent="0.3">
      <c r="A129" t="s">
        <v>28</v>
      </c>
      <c r="B129" t="s">
        <v>36</v>
      </c>
      <c r="C129" t="s">
        <v>40</v>
      </c>
      <c r="D129" s="1">
        <v>44324</v>
      </c>
      <c r="E129">
        <v>24371392</v>
      </c>
      <c r="F129">
        <v>19923</v>
      </c>
      <c r="G129">
        <v>36.5</v>
      </c>
      <c r="H129">
        <v>42910</v>
      </c>
      <c r="I129">
        <v>872901</v>
      </c>
      <c r="J129">
        <v>19462</v>
      </c>
      <c r="K129">
        <v>40098</v>
      </c>
      <c r="L129">
        <v>1631</v>
      </c>
      <c r="M129">
        <v>308713</v>
      </c>
      <c r="N129">
        <v>393571</v>
      </c>
      <c r="O129">
        <v>9444</v>
      </c>
      <c r="P129">
        <v>1530371</v>
      </c>
      <c r="Q129">
        <v>22.04</v>
      </c>
      <c r="R129">
        <v>48438225</v>
      </c>
      <c r="S129">
        <v>21295253</v>
      </c>
      <c r="T129">
        <v>27750286</v>
      </c>
      <c r="U129">
        <v>83.43</v>
      </c>
      <c r="V129">
        <v>8.74</v>
      </c>
      <c r="W129">
        <v>870</v>
      </c>
      <c r="X129">
        <v>3.12</v>
      </c>
      <c r="Y129">
        <v>87.86</v>
      </c>
    </row>
    <row r="130" spans="1:25" x14ac:dyDescent="0.3">
      <c r="A130" t="s">
        <v>28</v>
      </c>
      <c r="B130" t="s">
        <v>36</v>
      </c>
      <c r="C130" t="s">
        <v>39</v>
      </c>
      <c r="D130" s="1">
        <v>44325</v>
      </c>
      <c r="E130">
        <v>14204180</v>
      </c>
      <c r="F130">
        <v>13100</v>
      </c>
      <c r="G130">
        <v>32.799999999999997</v>
      </c>
      <c r="H130">
        <v>26186</v>
      </c>
      <c r="I130">
        <v>865360</v>
      </c>
      <c r="J130">
        <v>2983</v>
      </c>
      <c r="K130">
        <v>44145</v>
      </c>
      <c r="L130">
        <v>311</v>
      </c>
      <c r="M130">
        <v>750195</v>
      </c>
      <c r="N130">
        <v>394818</v>
      </c>
      <c r="O130">
        <v>7292</v>
      </c>
      <c r="P130">
        <v>1689936</v>
      </c>
      <c r="Q130">
        <v>22.43</v>
      </c>
      <c r="R130">
        <v>42215024</v>
      </c>
      <c r="S130">
        <v>9013937</v>
      </c>
      <c r="T130">
        <v>6735068</v>
      </c>
      <c r="U130">
        <v>30.42</v>
      </c>
      <c r="V130">
        <v>3.61</v>
      </c>
      <c r="W130">
        <v>461</v>
      </c>
      <c r="X130">
        <v>0.95</v>
      </c>
      <c r="Y130">
        <v>78.37</v>
      </c>
    </row>
    <row r="131" spans="1:25" x14ac:dyDescent="0.3">
      <c r="A131" t="s">
        <v>31</v>
      </c>
      <c r="B131" t="s">
        <v>33</v>
      </c>
      <c r="C131" t="s">
        <v>40</v>
      </c>
      <c r="D131" s="1">
        <v>44326</v>
      </c>
      <c r="E131">
        <v>960796</v>
      </c>
      <c r="F131">
        <v>730</v>
      </c>
      <c r="G131">
        <v>21.8</v>
      </c>
      <c r="H131">
        <v>23813</v>
      </c>
      <c r="I131">
        <v>467690</v>
      </c>
      <c r="J131">
        <v>31933</v>
      </c>
      <c r="K131">
        <v>38025</v>
      </c>
      <c r="L131">
        <v>308</v>
      </c>
      <c r="M131">
        <v>101354</v>
      </c>
      <c r="N131">
        <v>201364</v>
      </c>
      <c r="O131">
        <v>8961</v>
      </c>
      <c r="P131">
        <v>396340</v>
      </c>
      <c r="Q131">
        <v>7.57</v>
      </c>
      <c r="R131">
        <v>21467352</v>
      </c>
      <c r="S131">
        <v>7173449</v>
      </c>
      <c r="T131">
        <v>15904558</v>
      </c>
      <c r="U131">
        <v>46.9</v>
      </c>
      <c r="V131">
        <v>3.63</v>
      </c>
      <c r="W131">
        <v>163</v>
      </c>
      <c r="X131">
        <v>2.12</v>
      </c>
      <c r="Y131">
        <v>40.799999999999997</v>
      </c>
    </row>
    <row r="132" spans="1:25" x14ac:dyDescent="0.3">
      <c r="A132" t="s">
        <v>28</v>
      </c>
      <c r="B132" t="s">
        <v>36</v>
      </c>
      <c r="C132" t="s">
        <v>39</v>
      </c>
      <c r="D132" s="1">
        <v>44327</v>
      </c>
      <c r="E132">
        <v>41795048</v>
      </c>
      <c r="F132">
        <v>18958</v>
      </c>
      <c r="G132">
        <v>49.4</v>
      </c>
      <c r="H132">
        <v>19557</v>
      </c>
      <c r="I132">
        <v>267285</v>
      </c>
      <c r="J132">
        <v>46950</v>
      </c>
      <c r="K132">
        <v>34512</v>
      </c>
      <c r="L132">
        <v>774</v>
      </c>
      <c r="M132">
        <v>841403</v>
      </c>
      <c r="N132">
        <v>327668</v>
      </c>
      <c r="O132">
        <v>9025</v>
      </c>
      <c r="P132">
        <v>237028</v>
      </c>
      <c r="Q132">
        <v>12.44</v>
      </c>
      <c r="R132">
        <v>42245952</v>
      </c>
      <c r="S132">
        <v>18404471</v>
      </c>
      <c r="T132">
        <v>21385132</v>
      </c>
      <c r="U132">
        <v>87.38</v>
      </c>
      <c r="V132">
        <v>6.18</v>
      </c>
      <c r="W132">
        <v>2496</v>
      </c>
      <c r="X132">
        <v>2.46</v>
      </c>
      <c r="Y132">
        <v>98.18</v>
      </c>
    </row>
    <row r="133" spans="1:25" x14ac:dyDescent="0.3">
      <c r="A133" t="s">
        <v>28</v>
      </c>
      <c r="B133" t="s">
        <v>34</v>
      </c>
      <c r="C133" t="s">
        <v>39</v>
      </c>
      <c r="D133" s="1">
        <v>44328</v>
      </c>
      <c r="E133">
        <v>15003356</v>
      </c>
      <c r="F133">
        <v>18554</v>
      </c>
      <c r="G133">
        <v>24.9</v>
      </c>
      <c r="H133">
        <v>29060</v>
      </c>
      <c r="I133">
        <v>679710</v>
      </c>
      <c r="J133">
        <v>2523</v>
      </c>
      <c r="K133">
        <v>31395</v>
      </c>
      <c r="L133">
        <v>1120</v>
      </c>
      <c r="M133">
        <v>295349</v>
      </c>
      <c r="N133">
        <v>469154</v>
      </c>
      <c r="O133">
        <v>7142</v>
      </c>
      <c r="P133">
        <v>694411</v>
      </c>
      <c r="Q133">
        <v>2.4700000000000002</v>
      </c>
      <c r="R133">
        <v>33432821</v>
      </c>
      <c r="S133">
        <v>12584519</v>
      </c>
      <c r="T133">
        <v>10840565</v>
      </c>
      <c r="U133">
        <v>5.27</v>
      </c>
      <c r="V133">
        <v>2.2400000000000002</v>
      </c>
      <c r="W133">
        <v>3396</v>
      </c>
      <c r="X133">
        <v>2.35</v>
      </c>
      <c r="Y133">
        <v>37.96</v>
      </c>
    </row>
    <row r="134" spans="1:25" x14ac:dyDescent="0.3">
      <c r="A134" t="s">
        <v>31</v>
      </c>
      <c r="B134" t="s">
        <v>33</v>
      </c>
      <c r="C134" t="s">
        <v>40</v>
      </c>
      <c r="D134" s="1">
        <v>44329</v>
      </c>
      <c r="E134">
        <v>6494376</v>
      </c>
      <c r="F134">
        <v>4407</v>
      </c>
      <c r="G134">
        <v>20.2</v>
      </c>
      <c r="H134">
        <v>59866</v>
      </c>
      <c r="I134">
        <v>469298</v>
      </c>
      <c r="J134">
        <v>9677</v>
      </c>
      <c r="K134">
        <v>4673</v>
      </c>
      <c r="L134">
        <v>964</v>
      </c>
      <c r="M134">
        <v>175481</v>
      </c>
      <c r="N134">
        <v>333210</v>
      </c>
      <c r="O134">
        <v>6000</v>
      </c>
      <c r="P134">
        <v>1056752</v>
      </c>
      <c r="Q134">
        <v>18.2</v>
      </c>
      <c r="R134">
        <v>49241934</v>
      </c>
      <c r="S134">
        <v>22280410</v>
      </c>
      <c r="T134">
        <v>2878596</v>
      </c>
      <c r="U134">
        <v>88.91</v>
      </c>
      <c r="V134">
        <v>3.21</v>
      </c>
      <c r="W134">
        <v>4269</v>
      </c>
      <c r="X134">
        <v>4.87</v>
      </c>
      <c r="Y134">
        <v>63.86</v>
      </c>
    </row>
    <row r="135" spans="1:25" x14ac:dyDescent="0.3">
      <c r="A135" t="s">
        <v>28</v>
      </c>
      <c r="B135" t="s">
        <v>34</v>
      </c>
      <c r="C135" t="s">
        <v>41</v>
      </c>
      <c r="D135" s="1">
        <v>44330</v>
      </c>
      <c r="E135">
        <v>39912770</v>
      </c>
      <c r="F135">
        <v>1413</v>
      </c>
      <c r="G135">
        <v>37</v>
      </c>
      <c r="H135">
        <v>7080</v>
      </c>
      <c r="I135">
        <v>858303</v>
      </c>
      <c r="J135">
        <v>10292</v>
      </c>
      <c r="K135">
        <v>38687</v>
      </c>
      <c r="L135">
        <v>1136</v>
      </c>
      <c r="M135">
        <v>220178</v>
      </c>
      <c r="N135">
        <v>172538</v>
      </c>
      <c r="O135">
        <v>7081</v>
      </c>
      <c r="P135">
        <v>1927318</v>
      </c>
      <c r="Q135">
        <v>3.11</v>
      </c>
      <c r="R135">
        <v>18710846</v>
      </c>
      <c r="S135">
        <v>11537289</v>
      </c>
      <c r="T135">
        <v>19391309</v>
      </c>
      <c r="U135">
        <v>21.92</v>
      </c>
      <c r="V135">
        <v>4.46</v>
      </c>
      <c r="W135">
        <v>135</v>
      </c>
      <c r="X135">
        <v>0.32</v>
      </c>
      <c r="Y135">
        <v>16.11</v>
      </c>
    </row>
    <row r="136" spans="1:25" x14ac:dyDescent="0.3">
      <c r="A136" t="s">
        <v>27</v>
      </c>
      <c r="B136" t="s">
        <v>32</v>
      </c>
      <c r="C136" t="s">
        <v>38</v>
      </c>
      <c r="D136" s="1">
        <v>44331</v>
      </c>
      <c r="E136">
        <v>5489904</v>
      </c>
      <c r="F136">
        <v>9573</v>
      </c>
      <c r="G136">
        <v>41.6</v>
      </c>
      <c r="H136">
        <v>14854</v>
      </c>
      <c r="I136">
        <v>137149</v>
      </c>
      <c r="J136">
        <v>15089</v>
      </c>
      <c r="K136">
        <v>12828</v>
      </c>
      <c r="L136">
        <v>1660</v>
      </c>
      <c r="M136">
        <v>129001</v>
      </c>
      <c r="N136">
        <v>420741</v>
      </c>
      <c r="O136">
        <v>4649</v>
      </c>
      <c r="P136">
        <v>1826229</v>
      </c>
      <c r="Q136">
        <v>25.08</v>
      </c>
      <c r="R136">
        <v>36715489</v>
      </c>
      <c r="S136">
        <v>33075085</v>
      </c>
      <c r="T136">
        <v>17389620</v>
      </c>
      <c r="U136">
        <v>67.849999999999994</v>
      </c>
      <c r="V136">
        <v>3.86</v>
      </c>
      <c r="W136">
        <v>4192</v>
      </c>
      <c r="X136">
        <v>4.76</v>
      </c>
      <c r="Y136">
        <v>98.04</v>
      </c>
    </row>
    <row r="137" spans="1:25" x14ac:dyDescent="0.3">
      <c r="A137" t="s">
        <v>29</v>
      </c>
      <c r="B137" t="s">
        <v>33</v>
      </c>
      <c r="C137" t="s">
        <v>37</v>
      </c>
      <c r="D137" s="1">
        <v>44332</v>
      </c>
      <c r="E137">
        <v>9892609</v>
      </c>
      <c r="F137">
        <v>2342</v>
      </c>
      <c r="G137">
        <v>19</v>
      </c>
      <c r="H137">
        <v>68695</v>
      </c>
      <c r="I137">
        <v>571303</v>
      </c>
      <c r="J137">
        <v>4581</v>
      </c>
      <c r="K137">
        <v>22696</v>
      </c>
      <c r="L137">
        <v>455</v>
      </c>
      <c r="M137">
        <v>116861</v>
      </c>
      <c r="N137">
        <v>445644</v>
      </c>
      <c r="O137">
        <v>6931</v>
      </c>
      <c r="P137">
        <v>1507610</v>
      </c>
      <c r="Q137">
        <v>24.44</v>
      </c>
      <c r="R137">
        <v>17841583</v>
      </c>
      <c r="S137">
        <v>39524141</v>
      </c>
      <c r="T137">
        <v>8507841</v>
      </c>
      <c r="U137">
        <v>58.26</v>
      </c>
      <c r="V137">
        <v>5.49</v>
      </c>
      <c r="W137">
        <v>1622</v>
      </c>
      <c r="X137">
        <v>2.95</v>
      </c>
      <c r="Y137">
        <v>70.400000000000006</v>
      </c>
    </row>
    <row r="138" spans="1:25" x14ac:dyDescent="0.3">
      <c r="A138" t="s">
        <v>25</v>
      </c>
      <c r="B138" t="s">
        <v>32</v>
      </c>
      <c r="C138" t="s">
        <v>39</v>
      </c>
      <c r="D138" s="1">
        <v>44333</v>
      </c>
      <c r="E138">
        <v>17589239</v>
      </c>
      <c r="F138">
        <v>1588</v>
      </c>
      <c r="G138">
        <v>39.1</v>
      </c>
      <c r="H138">
        <v>28025</v>
      </c>
      <c r="I138">
        <v>989651</v>
      </c>
      <c r="J138">
        <v>11907</v>
      </c>
      <c r="K138">
        <v>23987</v>
      </c>
      <c r="L138">
        <v>1486</v>
      </c>
      <c r="M138">
        <v>185311</v>
      </c>
      <c r="N138">
        <v>245452</v>
      </c>
      <c r="O138">
        <v>3424</v>
      </c>
      <c r="P138">
        <v>514611</v>
      </c>
      <c r="Q138">
        <v>16.010000000000002</v>
      </c>
      <c r="R138">
        <v>43382645</v>
      </c>
      <c r="S138">
        <v>11333875</v>
      </c>
      <c r="T138">
        <v>27170877</v>
      </c>
      <c r="U138">
        <v>55.29</v>
      </c>
      <c r="V138">
        <v>6.2</v>
      </c>
      <c r="W138">
        <v>2055</v>
      </c>
      <c r="X138">
        <v>4</v>
      </c>
      <c r="Y138">
        <v>75.34</v>
      </c>
    </row>
    <row r="139" spans="1:25" x14ac:dyDescent="0.3">
      <c r="A139" t="s">
        <v>29</v>
      </c>
      <c r="B139" t="s">
        <v>33</v>
      </c>
      <c r="C139" t="s">
        <v>38</v>
      </c>
      <c r="D139" s="1">
        <v>44334</v>
      </c>
      <c r="E139">
        <v>12094207</v>
      </c>
      <c r="F139">
        <v>3458</v>
      </c>
      <c r="G139">
        <v>35</v>
      </c>
      <c r="H139">
        <v>53982</v>
      </c>
      <c r="I139">
        <v>977684</v>
      </c>
      <c r="J139">
        <v>5609</v>
      </c>
      <c r="K139">
        <v>49842</v>
      </c>
      <c r="L139">
        <v>1971</v>
      </c>
      <c r="M139">
        <v>208392</v>
      </c>
      <c r="N139">
        <v>67496</v>
      </c>
      <c r="O139">
        <v>1091</v>
      </c>
      <c r="P139">
        <v>1199324</v>
      </c>
      <c r="Q139">
        <v>4.2300000000000004</v>
      </c>
      <c r="R139">
        <v>19544100</v>
      </c>
      <c r="S139">
        <v>22526837</v>
      </c>
      <c r="T139">
        <v>28728342</v>
      </c>
      <c r="U139">
        <v>85.94</v>
      </c>
      <c r="V139">
        <v>5.88</v>
      </c>
      <c r="W139">
        <v>4129</v>
      </c>
      <c r="X139">
        <v>2.21</v>
      </c>
      <c r="Y139">
        <v>6.58</v>
      </c>
    </row>
    <row r="140" spans="1:25" x14ac:dyDescent="0.3">
      <c r="A140" t="s">
        <v>31</v>
      </c>
      <c r="B140" t="s">
        <v>35</v>
      </c>
      <c r="C140" t="s">
        <v>41</v>
      </c>
      <c r="D140" s="1">
        <v>44335</v>
      </c>
      <c r="E140">
        <v>40324448</v>
      </c>
      <c r="F140">
        <v>8802</v>
      </c>
      <c r="G140">
        <v>21.3</v>
      </c>
      <c r="H140">
        <v>42081</v>
      </c>
      <c r="I140">
        <v>172929</v>
      </c>
      <c r="J140">
        <v>44143</v>
      </c>
      <c r="K140">
        <v>40941</v>
      </c>
      <c r="L140">
        <v>131</v>
      </c>
      <c r="M140">
        <v>612061</v>
      </c>
      <c r="N140">
        <v>333938</v>
      </c>
      <c r="O140">
        <v>9388</v>
      </c>
      <c r="P140">
        <v>1094753</v>
      </c>
      <c r="Q140">
        <v>0.77</v>
      </c>
      <c r="R140">
        <v>22003263</v>
      </c>
      <c r="S140">
        <v>12259914</v>
      </c>
      <c r="T140">
        <v>16605227</v>
      </c>
      <c r="U140">
        <v>10.16</v>
      </c>
      <c r="V140">
        <v>6.71</v>
      </c>
      <c r="W140">
        <v>853</v>
      </c>
      <c r="X140">
        <v>2.3199999999999998</v>
      </c>
      <c r="Y140">
        <v>76.34</v>
      </c>
    </row>
    <row r="141" spans="1:25" x14ac:dyDescent="0.3">
      <c r="A141" t="s">
        <v>26</v>
      </c>
      <c r="B141" t="s">
        <v>36</v>
      </c>
      <c r="C141" t="s">
        <v>37</v>
      </c>
      <c r="D141" s="1">
        <v>44336</v>
      </c>
      <c r="E141">
        <v>41375015</v>
      </c>
      <c r="F141">
        <v>18337</v>
      </c>
      <c r="G141">
        <v>23.5</v>
      </c>
      <c r="H141">
        <v>5368</v>
      </c>
      <c r="I141">
        <v>757556</v>
      </c>
      <c r="J141">
        <v>22936</v>
      </c>
      <c r="K141">
        <v>18464</v>
      </c>
      <c r="L141">
        <v>929</v>
      </c>
      <c r="M141">
        <v>285885</v>
      </c>
      <c r="N141">
        <v>399122</v>
      </c>
      <c r="O141">
        <v>9852</v>
      </c>
      <c r="P141">
        <v>1533088</v>
      </c>
      <c r="Q141">
        <v>23.9</v>
      </c>
      <c r="R141">
        <v>33209685</v>
      </c>
      <c r="S141">
        <v>3127813</v>
      </c>
      <c r="T141">
        <v>29227827</v>
      </c>
      <c r="U141">
        <v>34.700000000000003</v>
      </c>
      <c r="V141">
        <v>3.42</v>
      </c>
      <c r="W141">
        <v>3384</v>
      </c>
      <c r="X141">
        <v>4.41</v>
      </c>
      <c r="Y141">
        <v>77.47</v>
      </c>
    </row>
    <row r="142" spans="1:25" x14ac:dyDescent="0.3">
      <c r="A142" t="s">
        <v>25</v>
      </c>
      <c r="B142" t="s">
        <v>35</v>
      </c>
      <c r="C142" t="s">
        <v>37</v>
      </c>
      <c r="D142" s="1">
        <v>44337</v>
      </c>
      <c r="E142">
        <v>8322636</v>
      </c>
      <c r="F142">
        <v>224</v>
      </c>
      <c r="G142">
        <v>36.200000000000003</v>
      </c>
      <c r="H142">
        <v>28094</v>
      </c>
      <c r="I142">
        <v>191912</v>
      </c>
      <c r="J142">
        <v>42725</v>
      </c>
      <c r="K142">
        <v>13368</v>
      </c>
      <c r="L142">
        <v>964</v>
      </c>
      <c r="M142">
        <v>421130</v>
      </c>
      <c r="N142">
        <v>479590</v>
      </c>
      <c r="O142">
        <v>7849</v>
      </c>
      <c r="P142">
        <v>1160199</v>
      </c>
      <c r="Q142">
        <v>18</v>
      </c>
      <c r="R142">
        <v>10616196</v>
      </c>
      <c r="S142">
        <v>5232829</v>
      </c>
      <c r="T142">
        <v>8402477</v>
      </c>
      <c r="U142">
        <v>53.83</v>
      </c>
      <c r="V142">
        <v>1.7</v>
      </c>
      <c r="W142">
        <v>3399</v>
      </c>
      <c r="X142">
        <v>4.49</v>
      </c>
      <c r="Y142">
        <v>67.180000000000007</v>
      </c>
    </row>
    <row r="143" spans="1:25" x14ac:dyDescent="0.3">
      <c r="A143" t="s">
        <v>31</v>
      </c>
      <c r="B143" t="s">
        <v>32</v>
      </c>
      <c r="C143" t="s">
        <v>39</v>
      </c>
      <c r="D143" s="1">
        <v>44338</v>
      </c>
      <c r="E143">
        <v>30351990</v>
      </c>
      <c r="F143">
        <v>2280</v>
      </c>
      <c r="G143">
        <v>27.5</v>
      </c>
      <c r="H143">
        <v>47040</v>
      </c>
      <c r="I143">
        <v>847334</v>
      </c>
      <c r="J143">
        <v>45723</v>
      </c>
      <c r="K143">
        <v>6678</v>
      </c>
      <c r="L143">
        <v>928</v>
      </c>
      <c r="M143">
        <v>51318</v>
      </c>
      <c r="N143">
        <v>279350</v>
      </c>
      <c r="O143">
        <v>4654</v>
      </c>
      <c r="P143">
        <v>1574861</v>
      </c>
      <c r="Q143">
        <v>21.33</v>
      </c>
      <c r="R143">
        <v>22107169</v>
      </c>
      <c r="S143">
        <v>22293394</v>
      </c>
      <c r="T143">
        <v>13042322</v>
      </c>
      <c r="U143">
        <v>81.13</v>
      </c>
      <c r="V143">
        <v>7.73</v>
      </c>
      <c r="W143">
        <v>1119</v>
      </c>
      <c r="X143">
        <v>1.27</v>
      </c>
      <c r="Y143">
        <v>29.19</v>
      </c>
    </row>
    <row r="144" spans="1:25" x14ac:dyDescent="0.3">
      <c r="A144" t="s">
        <v>26</v>
      </c>
      <c r="B144" t="s">
        <v>36</v>
      </c>
      <c r="C144" t="s">
        <v>40</v>
      </c>
      <c r="D144" s="1">
        <v>44339</v>
      </c>
      <c r="E144">
        <v>37232334</v>
      </c>
      <c r="F144">
        <v>4337</v>
      </c>
      <c r="G144">
        <v>48</v>
      </c>
      <c r="H144">
        <v>67766</v>
      </c>
      <c r="I144">
        <v>6577</v>
      </c>
      <c r="J144">
        <v>33988</v>
      </c>
      <c r="K144">
        <v>45794</v>
      </c>
      <c r="L144">
        <v>120</v>
      </c>
      <c r="M144">
        <v>152467</v>
      </c>
      <c r="N144">
        <v>56831</v>
      </c>
      <c r="O144">
        <v>260</v>
      </c>
      <c r="P144">
        <v>453546</v>
      </c>
      <c r="Q144">
        <v>9.11</v>
      </c>
      <c r="R144">
        <v>28561446</v>
      </c>
      <c r="S144">
        <v>26077798</v>
      </c>
      <c r="T144">
        <v>17363671</v>
      </c>
      <c r="U144">
        <v>21.64</v>
      </c>
      <c r="V144">
        <v>8.58</v>
      </c>
      <c r="W144">
        <v>2719</v>
      </c>
      <c r="X144">
        <v>1.08</v>
      </c>
      <c r="Y144">
        <v>48.97</v>
      </c>
    </row>
    <row r="145" spans="1:25" x14ac:dyDescent="0.3">
      <c r="A145" t="s">
        <v>29</v>
      </c>
      <c r="B145" t="s">
        <v>33</v>
      </c>
      <c r="C145" t="s">
        <v>41</v>
      </c>
      <c r="D145" s="1">
        <v>44340</v>
      </c>
      <c r="E145">
        <v>18032327</v>
      </c>
      <c r="F145">
        <v>12162</v>
      </c>
      <c r="G145">
        <v>44.2</v>
      </c>
      <c r="H145">
        <v>24991</v>
      </c>
      <c r="I145">
        <v>807434</v>
      </c>
      <c r="J145">
        <v>29506</v>
      </c>
      <c r="K145">
        <v>40779</v>
      </c>
      <c r="L145">
        <v>1220</v>
      </c>
      <c r="M145">
        <v>354951</v>
      </c>
      <c r="N145">
        <v>75110</v>
      </c>
      <c r="O145">
        <v>5936</v>
      </c>
      <c r="P145">
        <v>962273</v>
      </c>
      <c r="Q145">
        <v>15.28</v>
      </c>
      <c r="R145">
        <v>27559490</v>
      </c>
      <c r="S145">
        <v>10050001</v>
      </c>
      <c r="T145">
        <v>16440147</v>
      </c>
      <c r="U145">
        <v>80.290000000000006</v>
      </c>
      <c r="V145">
        <v>2.94</v>
      </c>
      <c r="W145">
        <v>4191</v>
      </c>
      <c r="X145">
        <v>2.5299999999999998</v>
      </c>
      <c r="Y145">
        <v>11.04</v>
      </c>
    </row>
    <row r="146" spans="1:25" x14ac:dyDescent="0.3">
      <c r="A146" t="s">
        <v>31</v>
      </c>
      <c r="B146" t="s">
        <v>36</v>
      </c>
      <c r="C146" t="s">
        <v>39</v>
      </c>
      <c r="D146" s="1">
        <v>44341</v>
      </c>
      <c r="E146">
        <v>19597931</v>
      </c>
      <c r="F146">
        <v>7156</v>
      </c>
      <c r="G146">
        <v>49.5</v>
      </c>
      <c r="H146">
        <v>2301</v>
      </c>
      <c r="I146">
        <v>51711</v>
      </c>
      <c r="J146">
        <v>13163</v>
      </c>
      <c r="K146">
        <v>9931</v>
      </c>
      <c r="L146">
        <v>1829</v>
      </c>
      <c r="M146">
        <v>193981</v>
      </c>
      <c r="N146">
        <v>475849</v>
      </c>
      <c r="O146">
        <v>9377</v>
      </c>
      <c r="P146">
        <v>497184</v>
      </c>
      <c r="Q146">
        <v>22.42</v>
      </c>
      <c r="R146">
        <v>34654416</v>
      </c>
      <c r="S146">
        <v>5449826</v>
      </c>
      <c r="T146">
        <v>1292334</v>
      </c>
      <c r="U146">
        <v>39.96</v>
      </c>
      <c r="V146">
        <v>4.37</v>
      </c>
      <c r="W146">
        <v>2821</v>
      </c>
      <c r="X146">
        <v>4.51</v>
      </c>
      <c r="Y146">
        <v>47.16</v>
      </c>
    </row>
    <row r="147" spans="1:25" x14ac:dyDescent="0.3">
      <c r="A147" t="s">
        <v>25</v>
      </c>
      <c r="B147" t="s">
        <v>34</v>
      </c>
      <c r="C147" t="s">
        <v>41</v>
      </c>
      <c r="D147" s="1">
        <v>44342</v>
      </c>
      <c r="E147">
        <v>19512021</v>
      </c>
      <c r="F147">
        <v>9739</v>
      </c>
      <c r="G147">
        <v>26.3</v>
      </c>
      <c r="H147">
        <v>29610</v>
      </c>
      <c r="I147">
        <v>564739</v>
      </c>
      <c r="J147">
        <v>46057</v>
      </c>
      <c r="K147">
        <v>34969</v>
      </c>
      <c r="L147">
        <v>1505</v>
      </c>
      <c r="M147">
        <v>449040</v>
      </c>
      <c r="N147">
        <v>249191</v>
      </c>
      <c r="O147">
        <v>4370</v>
      </c>
      <c r="P147">
        <v>1035549</v>
      </c>
      <c r="Q147">
        <v>13.88</v>
      </c>
      <c r="R147">
        <v>31433559</v>
      </c>
      <c r="S147">
        <v>33044467</v>
      </c>
      <c r="T147">
        <v>20097843</v>
      </c>
      <c r="U147">
        <v>18.89</v>
      </c>
      <c r="V147">
        <v>5.24</v>
      </c>
      <c r="W147">
        <v>4685</v>
      </c>
      <c r="X147">
        <v>1.68</v>
      </c>
      <c r="Y147">
        <v>24.38</v>
      </c>
    </row>
    <row r="148" spans="1:25" x14ac:dyDescent="0.3">
      <c r="A148" t="s">
        <v>25</v>
      </c>
      <c r="B148" t="s">
        <v>36</v>
      </c>
      <c r="C148" t="s">
        <v>40</v>
      </c>
      <c r="D148" s="1">
        <v>44343</v>
      </c>
      <c r="E148">
        <v>49068493</v>
      </c>
      <c r="F148">
        <v>12096</v>
      </c>
      <c r="G148">
        <v>49</v>
      </c>
      <c r="H148">
        <v>35678</v>
      </c>
      <c r="I148">
        <v>494027</v>
      </c>
      <c r="J148">
        <v>12537</v>
      </c>
      <c r="K148">
        <v>32338</v>
      </c>
      <c r="L148">
        <v>633</v>
      </c>
      <c r="M148">
        <v>329564</v>
      </c>
      <c r="N148">
        <v>294843</v>
      </c>
      <c r="O148">
        <v>4301</v>
      </c>
      <c r="P148">
        <v>645467</v>
      </c>
      <c r="Q148">
        <v>18.04</v>
      </c>
      <c r="R148">
        <v>15096983</v>
      </c>
      <c r="S148">
        <v>16028477</v>
      </c>
      <c r="T148">
        <v>16397335</v>
      </c>
      <c r="U148">
        <v>75.900000000000006</v>
      </c>
      <c r="V148">
        <v>5.57</v>
      </c>
      <c r="W148">
        <v>4232</v>
      </c>
      <c r="X148">
        <v>3.29</v>
      </c>
      <c r="Y148">
        <v>34.909999999999997</v>
      </c>
    </row>
    <row r="149" spans="1:25" x14ac:dyDescent="0.3">
      <c r="A149" t="s">
        <v>30</v>
      </c>
      <c r="B149" t="s">
        <v>34</v>
      </c>
      <c r="C149" t="s">
        <v>40</v>
      </c>
      <c r="D149" s="1">
        <v>44344</v>
      </c>
      <c r="E149">
        <v>35953486</v>
      </c>
      <c r="F149">
        <v>19605</v>
      </c>
      <c r="G149">
        <v>31.8</v>
      </c>
      <c r="H149">
        <v>25466</v>
      </c>
      <c r="I149">
        <v>705463</v>
      </c>
      <c r="J149">
        <v>22419</v>
      </c>
      <c r="K149">
        <v>8869</v>
      </c>
      <c r="L149">
        <v>1817</v>
      </c>
      <c r="M149">
        <v>447271</v>
      </c>
      <c r="N149">
        <v>71426</v>
      </c>
      <c r="O149">
        <v>7207</v>
      </c>
      <c r="P149">
        <v>248439</v>
      </c>
      <c r="Q149">
        <v>23.69</v>
      </c>
      <c r="R149">
        <v>9583490</v>
      </c>
      <c r="S149">
        <v>4908394</v>
      </c>
      <c r="T149">
        <v>10737296</v>
      </c>
      <c r="U149">
        <v>9.09</v>
      </c>
      <c r="V149">
        <v>6.77</v>
      </c>
      <c r="W149">
        <v>1458</v>
      </c>
      <c r="X149">
        <v>3.57</v>
      </c>
      <c r="Y149">
        <v>16.260000000000002</v>
      </c>
    </row>
    <row r="150" spans="1:25" x14ac:dyDescent="0.3">
      <c r="A150" t="s">
        <v>27</v>
      </c>
      <c r="B150" t="s">
        <v>36</v>
      </c>
      <c r="C150" t="s">
        <v>39</v>
      </c>
      <c r="D150" s="1">
        <v>44345</v>
      </c>
      <c r="E150">
        <v>35604616</v>
      </c>
      <c r="F150">
        <v>18001</v>
      </c>
      <c r="G150">
        <v>29.1</v>
      </c>
      <c r="H150">
        <v>41875</v>
      </c>
      <c r="I150">
        <v>422863</v>
      </c>
      <c r="J150">
        <v>42578</v>
      </c>
      <c r="K150">
        <v>23980</v>
      </c>
      <c r="L150">
        <v>896</v>
      </c>
      <c r="M150">
        <v>119142</v>
      </c>
      <c r="N150">
        <v>248976</v>
      </c>
      <c r="O150">
        <v>5819</v>
      </c>
      <c r="P150">
        <v>997157</v>
      </c>
      <c r="Q150">
        <v>6.46</v>
      </c>
      <c r="R150">
        <v>23207276</v>
      </c>
      <c r="S150">
        <v>20184036</v>
      </c>
      <c r="T150">
        <v>29161560</v>
      </c>
      <c r="U150">
        <v>51.48</v>
      </c>
      <c r="V150">
        <v>0.9</v>
      </c>
      <c r="W150">
        <v>3790</v>
      </c>
      <c r="X150">
        <v>3.92</v>
      </c>
      <c r="Y150">
        <v>23.01</v>
      </c>
    </row>
    <row r="151" spans="1:25" x14ac:dyDescent="0.3">
      <c r="A151" t="s">
        <v>28</v>
      </c>
      <c r="B151" t="s">
        <v>34</v>
      </c>
      <c r="C151" t="s">
        <v>40</v>
      </c>
      <c r="D151" s="1">
        <v>44346</v>
      </c>
      <c r="E151">
        <v>8653113</v>
      </c>
      <c r="F151">
        <v>1201</v>
      </c>
      <c r="G151">
        <v>19.600000000000001</v>
      </c>
      <c r="H151">
        <v>27081</v>
      </c>
      <c r="I151">
        <v>560119</v>
      </c>
      <c r="J151">
        <v>9455</v>
      </c>
      <c r="K151">
        <v>8882</v>
      </c>
      <c r="L151">
        <v>771</v>
      </c>
      <c r="M151">
        <v>328097</v>
      </c>
      <c r="N151">
        <v>337950</v>
      </c>
      <c r="O151">
        <v>9058</v>
      </c>
      <c r="P151">
        <v>645691</v>
      </c>
      <c r="Q151">
        <v>1.98</v>
      </c>
      <c r="R151">
        <v>48209094</v>
      </c>
      <c r="S151">
        <v>2448466</v>
      </c>
      <c r="T151">
        <v>27808941</v>
      </c>
      <c r="U151">
        <v>6.39</v>
      </c>
      <c r="V151">
        <v>7.35</v>
      </c>
      <c r="W151">
        <v>314</v>
      </c>
      <c r="X151">
        <v>2.86</v>
      </c>
      <c r="Y151">
        <v>7.66</v>
      </c>
    </row>
    <row r="152" spans="1:25" x14ac:dyDescent="0.3">
      <c r="A152" t="s">
        <v>26</v>
      </c>
      <c r="B152" t="s">
        <v>32</v>
      </c>
      <c r="C152" t="s">
        <v>38</v>
      </c>
      <c r="D152" s="1">
        <v>44347</v>
      </c>
      <c r="E152">
        <v>37327955</v>
      </c>
      <c r="F152">
        <v>7669</v>
      </c>
      <c r="G152">
        <v>19.7</v>
      </c>
      <c r="H152">
        <v>25354</v>
      </c>
      <c r="I152">
        <v>250402</v>
      </c>
      <c r="J152">
        <v>9063</v>
      </c>
      <c r="K152">
        <v>19240</v>
      </c>
      <c r="L152">
        <v>1062</v>
      </c>
      <c r="M152">
        <v>809621</v>
      </c>
      <c r="N152">
        <v>9104</v>
      </c>
      <c r="O152">
        <v>92</v>
      </c>
      <c r="P152">
        <v>1978311</v>
      </c>
      <c r="Q152">
        <v>15.95</v>
      </c>
      <c r="R152">
        <v>35949144</v>
      </c>
      <c r="S152">
        <v>16225943</v>
      </c>
      <c r="T152">
        <v>21392959</v>
      </c>
      <c r="U152">
        <v>35.64</v>
      </c>
      <c r="V152">
        <v>1.0900000000000001</v>
      </c>
      <c r="W152">
        <v>3898</v>
      </c>
      <c r="X152">
        <v>2.0699999999999998</v>
      </c>
      <c r="Y152">
        <v>91.99</v>
      </c>
    </row>
    <row r="153" spans="1:25" x14ac:dyDescent="0.3">
      <c r="A153" t="s">
        <v>30</v>
      </c>
      <c r="B153" t="s">
        <v>35</v>
      </c>
      <c r="C153" t="s">
        <v>37</v>
      </c>
      <c r="D153" s="1">
        <v>44348</v>
      </c>
      <c r="E153">
        <v>25754492</v>
      </c>
      <c r="F153">
        <v>6083</v>
      </c>
      <c r="G153">
        <v>40.1</v>
      </c>
      <c r="H153">
        <v>19300</v>
      </c>
      <c r="I153">
        <v>756664</v>
      </c>
      <c r="J153">
        <v>834</v>
      </c>
      <c r="K153">
        <v>26718</v>
      </c>
      <c r="L153">
        <v>565</v>
      </c>
      <c r="M153">
        <v>195928</v>
      </c>
      <c r="N153">
        <v>115118</v>
      </c>
      <c r="O153">
        <v>5161</v>
      </c>
      <c r="P153">
        <v>96287</v>
      </c>
      <c r="Q153">
        <v>1.86</v>
      </c>
      <c r="R153">
        <v>34675447</v>
      </c>
      <c r="S153">
        <v>17246113</v>
      </c>
      <c r="T153">
        <v>8811638</v>
      </c>
      <c r="U153">
        <v>60.11</v>
      </c>
      <c r="V153">
        <v>4.95</v>
      </c>
      <c r="W153">
        <v>3143</v>
      </c>
      <c r="X153">
        <v>4.84</v>
      </c>
      <c r="Y153">
        <v>53.04</v>
      </c>
    </row>
    <row r="154" spans="1:25" x14ac:dyDescent="0.3">
      <c r="A154" t="s">
        <v>28</v>
      </c>
      <c r="B154" t="s">
        <v>33</v>
      </c>
      <c r="C154" t="s">
        <v>39</v>
      </c>
      <c r="D154" s="1">
        <v>44349</v>
      </c>
      <c r="E154">
        <v>46062388</v>
      </c>
      <c r="F154">
        <v>8610</v>
      </c>
      <c r="G154">
        <v>32.700000000000003</v>
      </c>
      <c r="H154">
        <v>65384</v>
      </c>
      <c r="I154">
        <v>883930</v>
      </c>
      <c r="J154">
        <v>32214</v>
      </c>
      <c r="K154">
        <v>18857</v>
      </c>
      <c r="L154">
        <v>511</v>
      </c>
      <c r="M154">
        <v>748871</v>
      </c>
      <c r="N154">
        <v>444680</v>
      </c>
      <c r="O154">
        <v>7632</v>
      </c>
      <c r="P154">
        <v>1169150</v>
      </c>
      <c r="Q154">
        <v>23</v>
      </c>
      <c r="R154">
        <v>8931138</v>
      </c>
      <c r="S154">
        <v>28537877</v>
      </c>
      <c r="T154">
        <v>10611422</v>
      </c>
      <c r="U154">
        <v>55.61</v>
      </c>
      <c r="V154">
        <v>8.36</v>
      </c>
      <c r="W154">
        <v>4848</v>
      </c>
      <c r="X154">
        <v>3.1</v>
      </c>
      <c r="Y154">
        <v>39.67</v>
      </c>
    </row>
    <row r="155" spans="1:25" x14ac:dyDescent="0.3">
      <c r="A155" t="s">
        <v>28</v>
      </c>
      <c r="B155" t="s">
        <v>36</v>
      </c>
      <c r="C155" t="s">
        <v>41</v>
      </c>
      <c r="D155" s="1">
        <v>44350</v>
      </c>
      <c r="E155">
        <v>27590738</v>
      </c>
      <c r="F155">
        <v>4996</v>
      </c>
      <c r="G155">
        <v>25.2</v>
      </c>
      <c r="H155">
        <v>61892</v>
      </c>
      <c r="I155">
        <v>916381</v>
      </c>
      <c r="J155">
        <v>27398</v>
      </c>
      <c r="K155">
        <v>27115</v>
      </c>
      <c r="L155">
        <v>1497</v>
      </c>
      <c r="M155">
        <v>401968</v>
      </c>
      <c r="N155">
        <v>25892</v>
      </c>
      <c r="O155">
        <v>9543</v>
      </c>
      <c r="P155">
        <v>781751</v>
      </c>
      <c r="Q155">
        <v>21.58</v>
      </c>
      <c r="R155">
        <v>11191374</v>
      </c>
      <c r="S155">
        <v>29661763</v>
      </c>
      <c r="T155">
        <v>27739803</v>
      </c>
      <c r="U155">
        <v>40.47</v>
      </c>
      <c r="V155">
        <v>4.79</v>
      </c>
      <c r="W155">
        <v>1523</v>
      </c>
      <c r="X155">
        <v>3.67</v>
      </c>
      <c r="Y155">
        <v>53.5</v>
      </c>
    </row>
    <row r="156" spans="1:25" x14ac:dyDescent="0.3">
      <c r="A156" t="s">
        <v>31</v>
      </c>
      <c r="B156" t="s">
        <v>35</v>
      </c>
      <c r="C156" t="s">
        <v>38</v>
      </c>
      <c r="D156" s="1">
        <v>44351</v>
      </c>
      <c r="E156">
        <v>33769285</v>
      </c>
      <c r="F156">
        <v>1957</v>
      </c>
      <c r="G156">
        <v>37.6</v>
      </c>
      <c r="H156">
        <v>36525</v>
      </c>
      <c r="I156">
        <v>245942</v>
      </c>
      <c r="J156">
        <v>34492</v>
      </c>
      <c r="K156">
        <v>4932</v>
      </c>
      <c r="L156">
        <v>1184</v>
      </c>
      <c r="M156">
        <v>817776</v>
      </c>
      <c r="N156">
        <v>489068</v>
      </c>
      <c r="O156">
        <v>6208</v>
      </c>
      <c r="P156">
        <v>1171085</v>
      </c>
      <c r="Q156">
        <v>26.45</v>
      </c>
      <c r="R156">
        <v>10302940</v>
      </c>
      <c r="S156">
        <v>22593720</v>
      </c>
      <c r="T156">
        <v>10922161</v>
      </c>
      <c r="U156">
        <v>42.9</v>
      </c>
      <c r="V156">
        <v>1.92</v>
      </c>
      <c r="W156">
        <v>4331</v>
      </c>
      <c r="X156">
        <v>1.79</v>
      </c>
      <c r="Y156">
        <v>62.83</v>
      </c>
    </row>
    <row r="157" spans="1:25" x14ac:dyDescent="0.3">
      <c r="A157" t="s">
        <v>28</v>
      </c>
      <c r="B157" t="s">
        <v>33</v>
      </c>
      <c r="C157" t="s">
        <v>39</v>
      </c>
      <c r="D157" s="1">
        <v>44352</v>
      </c>
      <c r="E157">
        <v>32936728</v>
      </c>
      <c r="F157">
        <v>3540</v>
      </c>
      <c r="G157">
        <v>26.1</v>
      </c>
      <c r="H157">
        <v>27532</v>
      </c>
      <c r="I157">
        <v>96119</v>
      </c>
      <c r="J157">
        <v>2413</v>
      </c>
      <c r="K157">
        <v>4402</v>
      </c>
      <c r="L157">
        <v>288</v>
      </c>
      <c r="M157">
        <v>96187</v>
      </c>
      <c r="N157">
        <v>458228</v>
      </c>
      <c r="O157">
        <v>8556</v>
      </c>
      <c r="P157">
        <v>1397167</v>
      </c>
      <c r="Q157">
        <v>19.190000000000001</v>
      </c>
      <c r="R157">
        <v>10323740</v>
      </c>
      <c r="S157">
        <v>36717065</v>
      </c>
      <c r="T157">
        <v>15281146</v>
      </c>
      <c r="U157">
        <v>22.68</v>
      </c>
      <c r="V157">
        <v>9.86</v>
      </c>
      <c r="W157">
        <v>375</v>
      </c>
      <c r="X157">
        <v>3.38</v>
      </c>
      <c r="Y157">
        <v>92.19</v>
      </c>
    </row>
    <row r="158" spans="1:25" x14ac:dyDescent="0.3">
      <c r="A158" t="s">
        <v>27</v>
      </c>
      <c r="B158" t="s">
        <v>33</v>
      </c>
      <c r="C158" t="s">
        <v>40</v>
      </c>
      <c r="D158" s="1">
        <v>44353</v>
      </c>
      <c r="E158">
        <v>13636003</v>
      </c>
      <c r="F158">
        <v>18969</v>
      </c>
      <c r="G158">
        <v>36.5</v>
      </c>
      <c r="H158">
        <v>7464</v>
      </c>
      <c r="I158">
        <v>854262</v>
      </c>
      <c r="J158">
        <v>9505</v>
      </c>
      <c r="K158">
        <v>13551</v>
      </c>
      <c r="L158">
        <v>199</v>
      </c>
      <c r="M158">
        <v>499258</v>
      </c>
      <c r="N158">
        <v>54745</v>
      </c>
      <c r="O158">
        <v>4916</v>
      </c>
      <c r="P158">
        <v>1945530</v>
      </c>
      <c r="Q158">
        <v>2.02</v>
      </c>
      <c r="R158">
        <v>7172937</v>
      </c>
      <c r="S158">
        <v>17950983</v>
      </c>
      <c r="T158">
        <v>7305023</v>
      </c>
      <c r="U158">
        <v>45.59</v>
      </c>
      <c r="V158">
        <v>8.9499999999999993</v>
      </c>
      <c r="W158">
        <v>1256</v>
      </c>
      <c r="X158">
        <v>1.36</v>
      </c>
      <c r="Y158">
        <v>17.87</v>
      </c>
    </row>
    <row r="159" spans="1:25" x14ac:dyDescent="0.3">
      <c r="A159" t="s">
        <v>25</v>
      </c>
      <c r="B159" t="s">
        <v>34</v>
      </c>
      <c r="C159" t="s">
        <v>40</v>
      </c>
      <c r="D159" s="1">
        <v>44354</v>
      </c>
      <c r="E159">
        <v>20047958</v>
      </c>
      <c r="F159">
        <v>4223</v>
      </c>
      <c r="G159">
        <v>29.5</v>
      </c>
      <c r="H159">
        <v>17562</v>
      </c>
      <c r="I159">
        <v>343776</v>
      </c>
      <c r="J159">
        <v>37266</v>
      </c>
      <c r="K159">
        <v>19561</v>
      </c>
      <c r="L159">
        <v>1811</v>
      </c>
      <c r="M159">
        <v>810297</v>
      </c>
      <c r="N159">
        <v>7332</v>
      </c>
      <c r="O159">
        <v>3718</v>
      </c>
      <c r="P159">
        <v>1498757</v>
      </c>
      <c r="Q159">
        <v>7.59</v>
      </c>
      <c r="R159">
        <v>40140326</v>
      </c>
      <c r="S159">
        <v>16106720</v>
      </c>
      <c r="T159">
        <v>19998619</v>
      </c>
      <c r="U159">
        <v>95.33</v>
      </c>
      <c r="V159">
        <v>7.83</v>
      </c>
      <c r="W159">
        <v>4542</v>
      </c>
      <c r="X159">
        <v>1.3</v>
      </c>
      <c r="Y159">
        <v>29.56</v>
      </c>
    </row>
    <row r="160" spans="1:25" x14ac:dyDescent="0.3">
      <c r="A160" t="s">
        <v>30</v>
      </c>
      <c r="B160" t="s">
        <v>32</v>
      </c>
      <c r="C160" t="s">
        <v>40</v>
      </c>
      <c r="D160" s="1">
        <v>44355</v>
      </c>
      <c r="E160">
        <v>29248123</v>
      </c>
      <c r="F160">
        <v>11115</v>
      </c>
      <c r="G160">
        <v>44.4</v>
      </c>
      <c r="H160">
        <v>56514</v>
      </c>
      <c r="I160">
        <v>824265</v>
      </c>
      <c r="J160">
        <v>2105</v>
      </c>
      <c r="K160">
        <v>19391</v>
      </c>
      <c r="L160">
        <v>527</v>
      </c>
      <c r="M160">
        <v>661886</v>
      </c>
      <c r="N160">
        <v>471526</v>
      </c>
      <c r="O160">
        <v>6125</v>
      </c>
      <c r="P160">
        <v>1392864</v>
      </c>
      <c r="Q160">
        <v>24.24</v>
      </c>
      <c r="R160">
        <v>29026696</v>
      </c>
      <c r="S160">
        <v>20080250</v>
      </c>
      <c r="T160">
        <v>29140309</v>
      </c>
      <c r="U160">
        <v>85.05</v>
      </c>
      <c r="V160">
        <v>4.41</v>
      </c>
      <c r="W160">
        <v>1554</v>
      </c>
      <c r="X160">
        <v>3.6</v>
      </c>
      <c r="Y160">
        <v>97.58</v>
      </c>
    </row>
    <row r="161" spans="1:25" x14ac:dyDescent="0.3">
      <c r="A161" t="s">
        <v>28</v>
      </c>
      <c r="B161" t="s">
        <v>32</v>
      </c>
      <c r="C161" t="s">
        <v>40</v>
      </c>
      <c r="D161" s="1">
        <v>44356</v>
      </c>
      <c r="E161">
        <v>45488955</v>
      </c>
      <c r="F161">
        <v>17727</v>
      </c>
      <c r="G161">
        <v>44.3</v>
      </c>
      <c r="H161">
        <v>33634</v>
      </c>
      <c r="I161">
        <v>768754</v>
      </c>
      <c r="J161">
        <v>2568</v>
      </c>
      <c r="K161">
        <v>47793</v>
      </c>
      <c r="L161">
        <v>916</v>
      </c>
      <c r="M161">
        <v>885235</v>
      </c>
      <c r="N161">
        <v>54866</v>
      </c>
      <c r="O161">
        <v>1924</v>
      </c>
      <c r="P161">
        <v>1822369</v>
      </c>
      <c r="Q161">
        <v>5.01</v>
      </c>
      <c r="R161">
        <v>38145636</v>
      </c>
      <c r="S161">
        <v>32715813</v>
      </c>
      <c r="T161">
        <v>14437434</v>
      </c>
      <c r="U161">
        <v>14.52</v>
      </c>
      <c r="V161">
        <v>2.25</v>
      </c>
      <c r="W161">
        <v>3584</v>
      </c>
      <c r="X161">
        <v>2.65</v>
      </c>
      <c r="Y161">
        <v>37.119999999999997</v>
      </c>
    </row>
    <row r="162" spans="1:25" x14ac:dyDescent="0.3">
      <c r="A162" t="s">
        <v>31</v>
      </c>
      <c r="B162" t="s">
        <v>35</v>
      </c>
      <c r="C162" t="s">
        <v>41</v>
      </c>
      <c r="D162" s="1">
        <v>44357</v>
      </c>
      <c r="E162">
        <v>41350837</v>
      </c>
      <c r="F162">
        <v>4819</v>
      </c>
      <c r="G162">
        <v>33.299999999999997</v>
      </c>
      <c r="H162">
        <v>1060</v>
      </c>
      <c r="I162">
        <v>749224</v>
      </c>
      <c r="J162">
        <v>42098</v>
      </c>
      <c r="K162">
        <v>36005</v>
      </c>
      <c r="L162">
        <v>1708</v>
      </c>
      <c r="M162">
        <v>291167</v>
      </c>
      <c r="N162">
        <v>120701</v>
      </c>
      <c r="O162">
        <v>3095</v>
      </c>
      <c r="P162">
        <v>1242165</v>
      </c>
      <c r="Q162">
        <v>20.95</v>
      </c>
      <c r="R162">
        <v>38165747</v>
      </c>
      <c r="S162">
        <v>16843754</v>
      </c>
      <c r="T162">
        <v>19454852</v>
      </c>
      <c r="U162">
        <v>2.98</v>
      </c>
      <c r="V162">
        <v>9.44</v>
      </c>
      <c r="W162">
        <v>1490</v>
      </c>
      <c r="X162">
        <v>3.45</v>
      </c>
      <c r="Y162">
        <v>2.2599999999999998</v>
      </c>
    </row>
    <row r="163" spans="1:25" x14ac:dyDescent="0.3">
      <c r="A163" t="s">
        <v>27</v>
      </c>
      <c r="B163" t="s">
        <v>32</v>
      </c>
      <c r="C163" t="s">
        <v>38</v>
      </c>
      <c r="D163" s="1">
        <v>44358</v>
      </c>
      <c r="E163">
        <v>24123755</v>
      </c>
      <c r="F163">
        <v>4846</v>
      </c>
      <c r="G163">
        <v>29.2</v>
      </c>
      <c r="H163">
        <v>10269</v>
      </c>
      <c r="I163">
        <v>811830</v>
      </c>
      <c r="J163">
        <v>49361</v>
      </c>
      <c r="K163">
        <v>22958</v>
      </c>
      <c r="L163">
        <v>1526</v>
      </c>
      <c r="M163">
        <v>515013</v>
      </c>
      <c r="N163">
        <v>81688</v>
      </c>
      <c r="O163">
        <v>6683</v>
      </c>
      <c r="P163">
        <v>1928701</v>
      </c>
      <c r="Q163">
        <v>23.41</v>
      </c>
      <c r="R163">
        <v>6808807</v>
      </c>
      <c r="S163">
        <v>18705563</v>
      </c>
      <c r="T163">
        <v>8278453</v>
      </c>
      <c r="U163">
        <v>93.35</v>
      </c>
      <c r="V163">
        <v>5.56</v>
      </c>
      <c r="W163">
        <v>1005</v>
      </c>
      <c r="X163">
        <v>1.42</v>
      </c>
      <c r="Y163">
        <v>14.76</v>
      </c>
    </row>
    <row r="164" spans="1:25" x14ac:dyDescent="0.3">
      <c r="A164" t="s">
        <v>29</v>
      </c>
      <c r="B164" t="s">
        <v>36</v>
      </c>
      <c r="C164" t="s">
        <v>37</v>
      </c>
      <c r="D164" s="1">
        <v>44359</v>
      </c>
      <c r="E164">
        <v>14639308</v>
      </c>
      <c r="F164">
        <v>13096</v>
      </c>
      <c r="G164">
        <v>29.6</v>
      </c>
      <c r="H164">
        <v>64143</v>
      </c>
      <c r="I164">
        <v>586842</v>
      </c>
      <c r="J164">
        <v>37679</v>
      </c>
      <c r="K164">
        <v>26738</v>
      </c>
      <c r="L164">
        <v>1271</v>
      </c>
      <c r="M164">
        <v>142054</v>
      </c>
      <c r="N164">
        <v>179714</v>
      </c>
      <c r="O164">
        <v>5181</v>
      </c>
      <c r="P164">
        <v>357459</v>
      </c>
      <c r="Q164">
        <v>9.9</v>
      </c>
      <c r="R164">
        <v>32172941</v>
      </c>
      <c r="S164">
        <v>32889132</v>
      </c>
      <c r="T164">
        <v>10409387</v>
      </c>
      <c r="U164">
        <v>52.67</v>
      </c>
      <c r="V164">
        <v>8.6</v>
      </c>
      <c r="W164">
        <v>604</v>
      </c>
      <c r="X164">
        <v>3.03</v>
      </c>
      <c r="Y164">
        <v>2.63</v>
      </c>
    </row>
    <row r="165" spans="1:25" x14ac:dyDescent="0.3">
      <c r="A165" t="s">
        <v>25</v>
      </c>
      <c r="B165" t="s">
        <v>32</v>
      </c>
      <c r="C165" t="s">
        <v>41</v>
      </c>
      <c r="D165" s="1">
        <v>44360</v>
      </c>
      <c r="E165">
        <v>9159522</v>
      </c>
      <c r="F165">
        <v>14261</v>
      </c>
      <c r="G165">
        <v>43.8</v>
      </c>
      <c r="H165">
        <v>24065</v>
      </c>
      <c r="I165">
        <v>51755</v>
      </c>
      <c r="J165">
        <v>49385</v>
      </c>
      <c r="K165">
        <v>2034</v>
      </c>
      <c r="L165">
        <v>1406</v>
      </c>
      <c r="M165">
        <v>112605</v>
      </c>
      <c r="N165">
        <v>6013</v>
      </c>
      <c r="O165">
        <v>2538</v>
      </c>
      <c r="P165">
        <v>489720</v>
      </c>
      <c r="Q165">
        <v>9.67</v>
      </c>
      <c r="R165">
        <v>29822531</v>
      </c>
      <c r="S165">
        <v>37944128</v>
      </c>
      <c r="T165">
        <v>24998313</v>
      </c>
      <c r="U165">
        <v>53.78</v>
      </c>
      <c r="V165">
        <v>3.75</v>
      </c>
      <c r="W165">
        <v>3304</v>
      </c>
      <c r="X165">
        <v>2.2799999999999998</v>
      </c>
      <c r="Y165">
        <v>98.99</v>
      </c>
    </row>
    <row r="166" spans="1:25" x14ac:dyDescent="0.3">
      <c r="A166" t="s">
        <v>25</v>
      </c>
      <c r="B166" t="s">
        <v>35</v>
      </c>
      <c r="C166" t="s">
        <v>41</v>
      </c>
      <c r="D166" s="1">
        <v>44361</v>
      </c>
      <c r="E166">
        <v>26028279</v>
      </c>
      <c r="F166">
        <v>19406</v>
      </c>
      <c r="G166">
        <v>28.5</v>
      </c>
      <c r="H166">
        <v>3895</v>
      </c>
      <c r="I166">
        <v>936210</v>
      </c>
      <c r="J166">
        <v>33560</v>
      </c>
      <c r="K166">
        <v>16723</v>
      </c>
      <c r="L166">
        <v>1241</v>
      </c>
      <c r="M166">
        <v>835820</v>
      </c>
      <c r="N166">
        <v>112506</v>
      </c>
      <c r="O166">
        <v>9488</v>
      </c>
      <c r="P166">
        <v>1863395</v>
      </c>
      <c r="Q166">
        <v>16.73</v>
      </c>
      <c r="R166">
        <v>21113023</v>
      </c>
      <c r="S166">
        <v>26343393</v>
      </c>
      <c r="T166">
        <v>29017031</v>
      </c>
      <c r="U166">
        <v>78.069999999999993</v>
      </c>
      <c r="V166">
        <v>3.69</v>
      </c>
      <c r="W166">
        <v>4189</v>
      </c>
      <c r="X166">
        <v>3.03</v>
      </c>
      <c r="Y166">
        <v>27.89</v>
      </c>
    </row>
    <row r="167" spans="1:25" x14ac:dyDescent="0.3">
      <c r="A167" t="s">
        <v>30</v>
      </c>
      <c r="B167" t="s">
        <v>32</v>
      </c>
      <c r="C167" t="s">
        <v>37</v>
      </c>
      <c r="D167" s="1">
        <v>44362</v>
      </c>
      <c r="E167">
        <v>30139841</v>
      </c>
      <c r="F167">
        <v>5047</v>
      </c>
      <c r="G167">
        <v>24.7</v>
      </c>
      <c r="H167">
        <v>13352</v>
      </c>
      <c r="I167">
        <v>154412</v>
      </c>
      <c r="J167">
        <v>14195</v>
      </c>
      <c r="K167">
        <v>2496</v>
      </c>
      <c r="L167">
        <v>1110</v>
      </c>
      <c r="M167">
        <v>638672</v>
      </c>
      <c r="N167">
        <v>113793</v>
      </c>
      <c r="O167">
        <v>2276</v>
      </c>
      <c r="P167">
        <v>1053666</v>
      </c>
      <c r="Q167">
        <v>25.84</v>
      </c>
      <c r="R167">
        <v>7808915</v>
      </c>
      <c r="S167">
        <v>36449346</v>
      </c>
      <c r="T167">
        <v>17384828</v>
      </c>
      <c r="U167">
        <v>31.47</v>
      </c>
      <c r="V167">
        <v>9.86</v>
      </c>
      <c r="W167">
        <v>4627</v>
      </c>
      <c r="X167">
        <v>1.53</v>
      </c>
      <c r="Y167">
        <v>92.35</v>
      </c>
    </row>
    <row r="168" spans="1:25" x14ac:dyDescent="0.3">
      <c r="A168" t="s">
        <v>25</v>
      </c>
      <c r="B168" t="s">
        <v>36</v>
      </c>
      <c r="C168" t="s">
        <v>37</v>
      </c>
      <c r="D168" s="1">
        <v>44363</v>
      </c>
      <c r="E168">
        <v>18311802</v>
      </c>
      <c r="F168">
        <v>17426</v>
      </c>
      <c r="G168">
        <v>20.7</v>
      </c>
      <c r="H168">
        <v>50737</v>
      </c>
      <c r="I168">
        <v>852426</v>
      </c>
      <c r="J168">
        <v>46669</v>
      </c>
      <c r="K168">
        <v>1165</v>
      </c>
      <c r="L168">
        <v>1105</v>
      </c>
      <c r="M168">
        <v>631756</v>
      </c>
      <c r="N168">
        <v>93549</v>
      </c>
      <c r="O168">
        <v>8194</v>
      </c>
      <c r="P168">
        <v>1956854</v>
      </c>
      <c r="Q168">
        <v>6.72</v>
      </c>
      <c r="R168">
        <v>44130573</v>
      </c>
      <c r="S168">
        <v>30631816</v>
      </c>
      <c r="T168">
        <v>13001189</v>
      </c>
      <c r="U168">
        <v>48.19</v>
      </c>
      <c r="V168">
        <v>5.46</v>
      </c>
      <c r="W168">
        <v>2086</v>
      </c>
      <c r="X168">
        <v>3.61</v>
      </c>
      <c r="Y168">
        <v>99.59</v>
      </c>
    </row>
    <row r="169" spans="1:25" x14ac:dyDescent="0.3">
      <c r="A169" t="s">
        <v>28</v>
      </c>
      <c r="B169" t="s">
        <v>34</v>
      </c>
      <c r="C169" t="s">
        <v>40</v>
      </c>
      <c r="D169" s="1">
        <v>44364</v>
      </c>
      <c r="E169">
        <v>40094934</v>
      </c>
      <c r="F169">
        <v>8162</v>
      </c>
      <c r="G169">
        <v>32.9</v>
      </c>
      <c r="H169">
        <v>33016</v>
      </c>
      <c r="I169">
        <v>589172</v>
      </c>
      <c r="J169">
        <v>15762</v>
      </c>
      <c r="K169">
        <v>10092</v>
      </c>
      <c r="L169">
        <v>1085</v>
      </c>
      <c r="M169">
        <v>837042</v>
      </c>
      <c r="N169">
        <v>10667</v>
      </c>
      <c r="O169">
        <v>9945</v>
      </c>
      <c r="P169">
        <v>1467737</v>
      </c>
      <c r="Q169">
        <v>28.24</v>
      </c>
      <c r="R169">
        <v>4546475</v>
      </c>
      <c r="S169">
        <v>32717444</v>
      </c>
      <c r="T169">
        <v>5908187</v>
      </c>
      <c r="U169">
        <v>96.87</v>
      </c>
      <c r="V169">
        <v>1.84</v>
      </c>
      <c r="W169">
        <v>1336</v>
      </c>
      <c r="X169">
        <v>4.05</v>
      </c>
      <c r="Y169">
        <v>59.98</v>
      </c>
    </row>
    <row r="170" spans="1:25" x14ac:dyDescent="0.3">
      <c r="A170" t="s">
        <v>31</v>
      </c>
      <c r="B170" t="s">
        <v>35</v>
      </c>
      <c r="C170" t="s">
        <v>41</v>
      </c>
      <c r="D170" s="1">
        <v>44365</v>
      </c>
      <c r="E170">
        <v>27412512</v>
      </c>
      <c r="F170">
        <v>5337</v>
      </c>
      <c r="G170">
        <v>33.4</v>
      </c>
      <c r="H170">
        <v>62304</v>
      </c>
      <c r="I170">
        <v>871793</v>
      </c>
      <c r="J170">
        <v>41294</v>
      </c>
      <c r="K170">
        <v>37255</v>
      </c>
      <c r="L170">
        <v>798</v>
      </c>
      <c r="M170">
        <v>746504</v>
      </c>
      <c r="N170">
        <v>38479</v>
      </c>
      <c r="O170">
        <v>910</v>
      </c>
      <c r="P170">
        <v>1876247</v>
      </c>
      <c r="Q170">
        <v>17.97</v>
      </c>
      <c r="R170">
        <v>42799838</v>
      </c>
      <c r="S170">
        <v>39656297</v>
      </c>
      <c r="T170">
        <v>9911480</v>
      </c>
      <c r="U170">
        <v>67.209999999999994</v>
      </c>
      <c r="V170">
        <v>2.59</v>
      </c>
      <c r="W170">
        <v>1247</v>
      </c>
      <c r="X170">
        <v>1.37</v>
      </c>
      <c r="Y170">
        <v>3.32</v>
      </c>
    </row>
    <row r="171" spans="1:25" x14ac:dyDescent="0.3">
      <c r="A171" t="s">
        <v>25</v>
      </c>
      <c r="B171" t="s">
        <v>34</v>
      </c>
      <c r="C171" t="s">
        <v>39</v>
      </c>
      <c r="D171" s="1">
        <v>44366</v>
      </c>
      <c r="E171">
        <v>14819175</v>
      </c>
      <c r="F171">
        <v>10628</v>
      </c>
      <c r="G171">
        <v>44.9</v>
      </c>
      <c r="H171">
        <v>12962</v>
      </c>
      <c r="I171">
        <v>542770</v>
      </c>
      <c r="J171">
        <v>15898</v>
      </c>
      <c r="K171">
        <v>18579</v>
      </c>
      <c r="L171">
        <v>1523</v>
      </c>
      <c r="M171">
        <v>394209</v>
      </c>
      <c r="N171">
        <v>206140</v>
      </c>
      <c r="O171">
        <v>306</v>
      </c>
      <c r="P171">
        <v>4743</v>
      </c>
      <c r="Q171">
        <v>29.76</v>
      </c>
      <c r="R171">
        <v>8482784</v>
      </c>
      <c r="S171">
        <v>33202569</v>
      </c>
      <c r="T171">
        <v>6639150</v>
      </c>
      <c r="U171">
        <v>15.37</v>
      </c>
      <c r="V171">
        <v>5.08</v>
      </c>
      <c r="W171">
        <v>4711</v>
      </c>
      <c r="X171">
        <v>1.57</v>
      </c>
      <c r="Y171">
        <v>8.16</v>
      </c>
    </row>
    <row r="172" spans="1:25" x14ac:dyDescent="0.3">
      <c r="A172" t="s">
        <v>25</v>
      </c>
      <c r="B172" t="s">
        <v>34</v>
      </c>
      <c r="C172" t="s">
        <v>37</v>
      </c>
      <c r="D172" s="1">
        <v>44367</v>
      </c>
      <c r="E172">
        <v>39601526</v>
      </c>
      <c r="F172">
        <v>18674</v>
      </c>
      <c r="G172">
        <v>25.1</v>
      </c>
      <c r="H172">
        <v>34302</v>
      </c>
      <c r="I172">
        <v>55225</v>
      </c>
      <c r="J172">
        <v>21577</v>
      </c>
      <c r="K172">
        <v>7096</v>
      </c>
      <c r="L172">
        <v>1065</v>
      </c>
      <c r="M172">
        <v>449910</v>
      </c>
      <c r="N172">
        <v>262563</v>
      </c>
      <c r="O172">
        <v>6575</v>
      </c>
      <c r="P172">
        <v>1080500</v>
      </c>
      <c r="Q172">
        <v>2.69</v>
      </c>
      <c r="R172">
        <v>14275443</v>
      </c>
      <c r="S172">
        <v>38334009</v>
      </c>
      <c r="T172">
        <v>866763</v>
      </c>
      <c r="U172">
        <v>13.32</v>
      </c>
      <c r="V172">
        <v>0.9</v>
      </c>
      <c r="W172">
        <v>2317</v>
      </c>
      <c r="X172">
        <v>3.34</v>
      </c>
      <c r="Y172">
        <v>48.16</v>
      </c>
    </row>
    <row r="173" spans="1:25" x14ac:dyDescent="0.3">
      <c r="A173" t="s">
        <v>29</v>
      </c>
      <c r="B173" t="s">
        <v>34</v>
      </c>
      <c r="C173" t="s">
        <v>37</v>
      </c>
      <c r="D173" s="1">
        <v>44368</v>
      </c>
      <c r="E173">
        <v>3600581</v>
      </c>
      <c r="F173">
        <v>17910</v>
      </c>
      <c r="G173">
        <v>30.2</v>
      </c>
      <c r="H173">
        <v>5011</v>
      </c>
      <c r="I173">
        <v>190921</v>
      </c>
      <c r="J173">
        <v>1214</v>
      </c>
      <c r="K173">
        <v>2327</v>
      </c>
      <c r="L173">
        <v>11</v>
      </c>
      <c r="M173">
        <v>606789</v>
      </c>
      <c r="N173">
        <v>90105</v>
      </c>
      <c r="O173">
        <v>4231</v>
      </c>
      <c r="P173">
        <v>1190844</v>
      </c>
      <c r="Q173">
        <v>3.8</v>
      </c>
      <c r="R173">
        <v>42278054</v>
      </c>
      <c r="S173">
        <v>14172820</v>
      </c>
      <c r="T173">
        <v>11698040</v>
      </c>
      <c r="U173">
        <v>20.43</v>
      </c>
      <c r="V173">
        <v>4.8899999999999997</v>
      </c>
      <c r="W173">
        <v>3679</v>
      </c>
      <c r="X173">
        <v>3.51</v>
      </c>
      <c r="Y173">
        <v>40.619999999999997</v>
      </c>
    </row>
    <row r="174" spans="1:25" x14ac:dyDescent="0.3">
      <c r="A174" t="s">
        <v>29</v>
      </c>
      <c r="B174" t="s">
        <v>33</v>
      </c>
      <c r="C174" t="s">
        <v>38</v>
      </c>
      <c r="D174" s="1">
        <v>44369</v>
      </c>
      <c r="E174">
        <v>36716069</v>
      </c>
      <c r="F174">
        <v>6476</v>
      </c>
      <c r="G174">
        <v>43.9</v>
      </c>
      <c r="H174">
        <v>20782</v>
      </c>
      <c r="I174">
        <v>600142</v>
      </c>
      <c r="J174">
        <v>20803</v>
      </c>
      <c r="K174">
        <v>36399</v>
      </c>
      <c r="L174">
        <v>832</v>
      </c>
      <c r="M174">
        <v>40267</v>
      </c>
      <c r="N174">
        <v>373234</v>
      </c>
      <c r="O174">
        <v>6028</v>
      </c>
      <c r="P174">
        <v>1966168</v>
      </c>
      <c r="Q174">
        <v>24.8</v>
      </c>
      <c r="R174">
        <v>13154587</v>
      </c>
      <c r="S174">
        <v>25597332</v>
      </c>
      <c r="T174">
        <v>8539032</v>
      </c>
      <c r="U174">
        <v>76.67</v>
      </c>
      <c r="V174">
        <v>4.4800000000000004</v>
      </c>
      <c r="W174">
        <v>3515</v>
      </c>
      <c r="X174">
        <v>3.55</v>
      </c>
      <c r="Y174">
        <v>60.62</v>
      </c>
    </row>
    <row r="175" spans="1:25" x14ac:dyDescent="0.3">
      <c r="A175" t="s">
        <v>26</v>
      </c>
      <c r="B175" t="s">
        <v>33</v>
      </c>
      <c r="C175" t="s">
        <v>39</v>
      </c>
      <c r="D175" s="1">
        <v>44370</v>
      </c>
      <c r="E175">
        <v>4172277</v>
      </c>
      <c r="F175">
        <v>11649</v>
      </c>
      <c r="G175">
        <v>44.4</v>
      </c>
      <c r="H175">
        <v>68691</v>
      </c>
      <c r="I175">
        <v>566544</v>
      </c>
      <c r="J175">
        <v>48114</v>
      </c>
      <c r="K175">
        <v>4501</v>
      </c>
      <c r="L175">
        <v>1769</v>
      </c>
      <c r="M175">
        <v>554338</v>
      </c>
      <c r="N175">
        <v>223198</v>
      </c>
      <c r="O175">
        <v>6658</v>
      </c>
      <c r="P175">
        <v>1927823</v>
      </c>
      <c r="Q175">
        <v>25.94</v>
      </c>
      <c r="R175">
        <v>29019839</v>
      </c>
      <c r="S175">
        <v>21618112</v>
      </c>
      <c r="T175">
        <v>24403045</v>
      </c>
      <c r="U175">
        <v>29.54</v>
      </c>
      <c r="V175">
        <v>7.9</v>
      </c>
      <c r="W175">
        <v>821</v>
      </c>
      <c r="X175">
        <v>3.45</v>
      </c>
      <c r="Y175">
        <v>43.88</v>
      </c>
    </row>
    <row r="176" spans="1:25" x14ac:dyDescent="0.3">
      <c r="A176" t="s">
        <v>27</v>
      </c>
      <c r="B176" t="s">
        <v>34</v>
      </c>
      <c r="C176" t="s">
        <v>39</v>
      </c>
      <c r="D176" s="1">
        <v>44371</v>
      </c>
      <c r="E176">
        <v>19361720</v>
      </c>
      <c r="F176">
        <v>439</v>
      </c>
      <c r="G176">
        <v>30.3</v>
      </c>
      <c r="H176">
        <v>40725</v>
      </c>
      <c r="I176">
        <v>241617</v>
      </c>
      <c r="J176">
        <v>23698</v>
      </c>
      <c r="K176">
        <v>15926</v>
      </c>
      <c r="L176">
        <v>840</v>
      </c>
      <c r="M176">
        <v>524761</v>
      </c>
      <c r="N176">
        <v>479436</v>
      </c>
      <c r="O176">
        <v>6336</v>
      </c>
      <c r="P176">
        <v>1679176</v>
      </c>
      <c r="Q176">
        <v>13.36</v>
      </c>
      <c r="R176">
        <v>9184344</v>
      </c>
      <c r="S176">
        <v>136322</v>
      </c>
      <c r="T176">
        <v>14878251</v>
      </c>
      <c r="U176">
        <v>2.14</v>
      </c>
      <c r="V176">
        <v>3.87</v>
      </c>
      <c r="W176">
        <v>2506</v>
      </c>
      <c r="X176">
        <v>2.02</v>
      </c>
      <c r="Y176">
        <v>93.41</v>
      </c>
    </row>
    <row r="177" spans="1:25" x14ac:dyDescent="0.3">
      <c r="A177" t="s">
        <v>28</v>
      </c>
      <c r="B177" t="s">
        <v>35</v>
      </c>
      <c r="C177" t="s">
        <v>37</v>
      </c>
      <c r="D177" s="1">
        <v>44372</v>
      </c>
      <c r="E177">
        <v>13045745</v>
      </c>
      <c r="F177">
        <v>1049</v>
      </c>
      <c r="G177">
        <v>32.700000000000003</v>
      </c>
      <c r="H177">
        <v>10196</v>
      </c>
      <c r="I177">
        <v>109721</v>
      </c>
      <c r="J177">
        <v>32980</v>
      </c>
      <c r="K177">
        <v>15258</v>
      </c>
      <c r="L177">
        <v>642</v>
      </c>
      <c r="M177">
        <v>145405</v>
      </c>
      <c r="N177">
        <v>4891</v>
      </c>
      <c r="O177">
        <v>9630</v>
      </c>
      <c r="P177">
        <v>1380580</v>
      </c>
      <c r="Q177">
        <v>21.42</v>
      </c>
      <c r="R177">
        <v>7846431</v>
      </c>
      <c r="S177">
        <v>33812548</v>
      </c>
      <c r="T177">
        <v>4762347</v>
      </c>
      <c r="U177">
        <v>94.42</v>
      </c>
      <c r="V177">
        <v>9.83</v>
      </c>
      <c r="W177">
        <v>520</v>
      </c>
      <c r="X177">
        <v>2.0299999999999998</v>
      </c>
      <c r="Y177">
        <v>53.47</v>
      </c>
    </row>
    <row r="178" spans="1:25" x14ac:dyDescent="0.3">
      <c r="A178" t="s">
        <v>25</v>
      </c>
      <c r="B178" t="s">
        <v>36</v>
      </c>
      <c r="C178" t="s">
        <v>40</v>
      </c>
      <c r="D178" s="1">
        <v>44373</v>
      </c>
      <c r="E178">
        <v>11143344</v>
      </c>
      <c r="F178">
        <v>12862</v>
      </c>
      <c r="G178">
        <v>27.7</v>
      </c>
      <c r="H178">
        <v>44459</v>
      </c>
      <c r="I178">
        <v>606398</v>
      </c>
      <c r="J178">
        <v>1658</v>
      </c>
      <c r="K178">
        <v>2521</v>
      </c>
      <c r="L178">
        <v>1138</v>
      </c>
      <c r="M178">
        <v>134542</v>
      </c>
      <c r="N178">
        <v>490588</v>
      </c>
      <c r="O178">
        <v>872</v>
      </c>
      <c r="P178">
        <v>959904</v>
      </c>
      <c r="Q178">
        <v>26.03</v>
      </c>
      <c r="R178">
        <v>35406472</v>
      </c>
      <c r="S178">
        <v>18907455</v>
      </c>
      <c r="T178">
        <v>22910824</v>
      </c>
      <c r="U178">
        <v>16.97</v>
      </c>
      <c r="V178">
        <v>2.2200000000000002</v>
      </c>
      <c r="W178">
        <v>1420</v>
      </c>
      <c r="X178">
        <v>1.35</v>
      </c>
      <c r="Y178">
        <v>69.37</v>
      </c>
    </row>
    <row r="179" spans="1:25" x14ac:dyDescent="0.3">
      <c r="A179" t="s">
        <v>25</v>
      </c>
      <c r="B179" t="s">
        <v>36</v>
      </c>
      <c r="C179" t="s">
        <v>38</v>
      </c>
      <c r="D179" s="1">
        <v>44374</v>
      </c>
      <c r="E179">
        <v>37075804</v>
      </c>
      <c r="F179">
        <v>15649</v>
      </c>
      <c r="G179">
        <v>47.8</v>
      </c>
      <c r="H179">
        <v>33769</v>
      </c>
      <c r="I179">
        <v>114606</v>
      </c>
      <c r="J179">
        <v>12270</v>
      </c>
      <c r="K179">
        <v>24236</v>
      </c>
      <c r="L179">
        <v>1241</v>
      </c>
      <c r="M179">
        <v>623103</v>
      </c>
      <c r="N179">
        <v>131501</v>
      </c>
      <c r="O179">
        <v>1141</v>
      </c>
      <c r="P179">
        <v>741537</v>
      </c>
      <c r="Q179">
        <v>1.29</v>
      </c>
      <c r="R179">
        <v>899321</v>
      </c>
      <c r="S179">
        <v>18910736</v>
      </c>
      <c r="T179">
        <v>5865522</v>
      </c>
      <c r="U179">
        <v>0.96</v>
      </c>
      <c r="V179">
        <v>6.11</v>
      </c>
      <c r="W179">
        <v>3182</v>
      </c>
      <c r="X179">
        <v>0.87</v>
      </c>
      <c r="Y179">
        <v>89.65</v>
      </c>
    </row>
    <row r="180" spans="1:25" x14ac:dyDescent="0.3">
      <c r="A180" t="s">
        <v>31</v>
      </c>
      <c r="B180" t="s">
        <v>32</v>
      </c>
      <c r="C180" t="s">
        <v>39</v>
      </c>
      <c r="D180" s="1">
        <v>44375</v>
      </c>
      <c r="E180">
        <v>16577579</v>
      </c>
      <c r="F180">
        <v>1905</v>
      </c>
      <c r="G180">
        <v>21.8</v>
      </c>
      <c r="H180">
        <v>25700</v>
      </c>
      <c r="I180">
        <v>539938</v>
      </c>
      <c r="J180">
        <v>46797</v>
      </c>
      <c r="K180">
        <v>25035</v>
      </c>
      <c r="L180">
        <v>1672</v>
      </c>
      <c r="M180">
        <v>95994</v>
      </c>
      <c r="N180">
        <v>205559</v>
      </c>
      <c r="O180">
        <v>665</v>
      </c>
      <c r="P180">
        <v>1797954</v>
      </c>
      <c r="Q180">
        <v>17.22</v>
      </c>
      <c r="R180">
        <v>40953950</v>
      </c>
      <c r="S180">
        <v>10082120</v>
      </c>
      <c r="T180">
        <v>19208500</v>
      </c>
      <c r="U180">
        <v>23.71</v>
      </c>
      <c r="V180">
        <v>1.35</v>
      </c>
      <c r="W180">
        <v>721</v>
      </c>
      <c r="X180">
        <v>3.49</v>
      </c>
      <c r="Y180">
        <v>14.69</v>
      </c>
    </row>
    <row r="181" spans="1:25" x14ac:dyDescent="0.3">
      <c r="A181" t="s">
        <v>26</v>
      </c>
      <c r="B181" t="s">
        <v>35</v>
      </c>
      <c r="C181" t="s">
        <v>37</v>
      </c>
      <c r="D181" s="1">
        <v>44376</v>
      </c>
      <c r="E181">
        <v>44831269</v>
      </c>
      <c r="F181">
        <v>8175</v>
      </c>
      <c r="G181">
        <v>47.9</v>
      </c>
      <c r="H181">
        <v>6269</v>
      </c>
      <c r="I181">
        <v>178190</v>
      </c>
      <c r="J181">
        <v>37792</v>
      </c>
      <c r="K181">
        <v>42324</v>
      </c>
      <c r="L181">
        <v>105</v>
      </c>
      <c r="M181">
        <v>652212</v>
      </c>
      <c r="N181">
        <v>61132</v>
      </c>
      <c r="O181">
        <v>8400</v>
      </c>
      <c r="P181">
        <v>230602</v>
      </c>
      <c r="Q181">
        <v>25.6</v>
      </c>
      <c r="R181">
        <v>3735568</v>
      </c>
      <c r="S181">
        <v>7148703</v>
      </c>
      <c r="T181">
        <v>824353</v>
      </c>
      <c r="U181">
        <v>23.5</v>
      </c>
      <c r="V181">
        <v>7.47</v>
      </c>
      <c r="W181">
        <v>1224</v>
      </c>
      <c r="X181">
        <v>0.56000000000000005</v>
      </c>
      <c r="Y181">
        <v>22.97</v>
      </c>
    </row>
    <row r="182" spans="1:25" x14ac:dyDescent="0.3">
      <c r="A182" t="s">
        <v>27</v>
      </c>
      <c r="B182" t="s">
        <v>33</v>
      </c>
      <c r="C182" t="s">
        <v>39</v>
      </c>
      <c r="D182" s="1">
        <v>44377</v>
      </c>
      <c r="E182">
        <v>5354042</v>
      </c>
      <c r="F182">
        <v>13844</v>
      </c>
      <c r="G182">
        <v>39.9</v>
      </c>
      <c r="H182">
        <v>44880</v>
      </c>
      <c r="I182">
        <v>29930</v>
      </c>
      <c r="J182">
        <v>45807</v>
      </c>
      <c r="K182">
        <v>48390</v>
      </c>
      <c r="L182">
        <v>690</v>
      </c>
      <c r="M182">
        <v>83181</v>
      </c>
      <c r="N182">
        <v>175250</v>
      </c>
      <c r="O182">
        <v>951</v>
      </c>
      <c r="P182">
        <v>1392119</v>
      </c>
      <c r="Q182">
        <v>11.94</v>
      </c>
      <c r="R182">
        <v>49225844</v>
      </c>
      <c r="S182">
        <v>11625029</v>
      </c>
      <c r="T182">
        <v>21423739</v>
      </c>
      <c r="U182">
        <v>42.2</v>
      </c>
      <c r="V182">
        <v>9.9499999999999993</v>
      </c>
      <c r="W182">
        <v>160</v>
      </c>
      <c r="X182">
        <v>4.7</v>
      </c>
      <c r="Y182">
        <v>10.73</v>
      </c>
    </row>
    <row r="183" spans="1:25" x14ac:dyDescent="0.3">
      <c r="A183" t="s">
        <v>26</v>
      </c>
      <c r="B183" t="s">
        <v>34</v>
      </c>
      <c r="C183" t="s">
        <v>38</v>
      </c>
      <c r="D183" s="1">
        <v>44378</v>
      </c>
      <c r="E183">
        <v>19748594</v>
      </c>
      <c r="F183">
        <v>2813</v>
      </c>
      <c r="G183">
        <v>35</v>
      </c>
      <c r="H183">
        <v>9320</v>
      </c>
      <c r="I183">
        <v>742067</v>
      </c>
      <c r="J183">
        <v>22301</v>
      </c>
      <c r="K183">
        <v>7858</v>
      </c>
      <c r="L183">
        <v>527</v>
      </c>
      <c r="M183">
        <v>888421</v>
      </c>
      <c r="N183">
        <v>350906</v>
      </c>
      <c r="O183">
        <v>9249</v>
      </c>
      <c r="P183">
        <v>836227</v>
      </c>
      <c r="Q183">
        <v>9.07</v>
      </c>
      <c r="R183">
        <v>36074454</v>
      </c>
      <c r="S183">
        <v>32960112</v>
      </c>
      <c r="T183">
        <v>20397036</v>
      </c>
      <c r="U183">
        <v>92.04</v>
      </c>
      <c r="V183">
        <v>8.2799999999999994</v>
      </c>
      <c r="W183">
        <v>3609</v>
      </c>
      <c r="X183">
        <v>4.1500000000000004</v>
      </c>
      <c r="Y183">
        <v>13.96</v>
      </c>
    </row>
    <row r="184" spans="1:25" x14ac:dyDescent="0.3">
      <c r="A184" t="s">
        <v>30</v>
      </c>
      <c r="B184" t="s">
        <v>32</v>
      </c>
      <c r="C184" t="s">
        <v>38</v>
      </c>
      <c r="D184" s="1">
        <v>44379</v>
      </c>
      <c r="E184">
        <v>48557723</v>
      </c>
      <c r="F184">
        <v>5036</v>
      </c>
      <c r="G184">
        <v>19</v>
      </c>
      <c r="H184">
        <v>50589</v>
      </c>
      <c r="I184">
        <v>261102</v>
      </c>
      <c r="J184">
        <v>5141</v>
      </c>
      <c r="K184">
        <v>14284</v>
      </c>
      <c r="L184">
        <v>1495</v>
      </c>
      <c r="M184">
        <v>705037</v>
      </c>
      <c r="N184">
        <v>21400</v>
      </c>
      <c r="O184">
        <v>4722</v>
      </c>
      <c r="P184">
        <v>838985</v>
      </c>
      <c r="Q184">
        <v>23.87</v>
      </c>
      <c r="R184">
        <v>18925065</v>
      </c>
      <c r="S184">
        <v>6276839</v>
      </c>
      <c r="T184">
        <v>7124556</v>
      </c>
      <c r="U184">
        <v>87.92</v>
      </c>
      <c r="V184">
        <v>5.78</v>
      </c>
      <c r="W184">
        <v>1076</v>
      </c>
      <c r="X184">
        <v>4.3</v>
      </c>
      <c r="Y184">
        <v>51.26</v>
      </c>
    </row>
    <row r="185" spans="1:25" x14ac:dyDescent="0.3">
      <c r="A185" t="s">
        <v>27</v>
      </c>
      <c r="B185" t="s">
        <v>36</v>
      </c>
      <c r="C185" t="s">
        <v>41</v>
      </c>
      <c r="D185" s="1">
        <v>44380</v>
      </c>
      <c r="E185">
        <v>4330121</v>
      </c>
      <c r="F185">
        <v>1531</v>
      </c>
      <c r="G185">
        <v>33.200000000000003</v>
      </c>
      <c r="H185">
        <v>36897</v>
      </c>
      <c r="I185">
        <v>363544</v>
      </c>
      <c r="J185">
        <v>38756</v>
      </c>
      <c r="K185">
        <v>30968</v>
      </c>
      <c r="L185">
        <v>1777</v>
      </c>
      <c r="M185">
        <v>252911</v>
      </c>
      <c r="N185">
        <v>337944</v>
      </c>
      <c r="O185">
        <v>4008</v>
      </c>
      <c r="P185">
        <v>1558504</v>
      </c>
      <c r="Q185">
        <v>10.07</v>
      </c>
      <c r="R185">
        <v>39709775</v>
      </c>
      <c r="S185">
        <v>13166100</v>
      </c>
      <c r="T185">
        <v>7657351</v>
      </c>
      <c r="U185">
        <v>45.69</v>
      </c>
      <c r="V185">
        <v>5.1100000000000003</v>
      </c>
      <c r="W185">
        <v>3604</v>
      </c>
      <c r="X185">
        <v>4.54</v>
      </c>
      <c r="Y185">
        <v>32.119999999999997</v>
      </c>
    </row>
    <row r="186" spans="1:25" x14ac:dyDescent="0.3">
      <c r="A186" t="s">
        <v>25</v>
      </c>
      <c r="B186" t="s">
        <v>33</v>
      </c>
      <c r="C186" t="s">
        <v>37</v>
      </c>
      <c r="D186" s="1">
        <v>44381</v>
      </c>
      <c r="E186">
        <v>12451552</v>
      </c>
      <c r="F186">
        <v>3781</v>
      </c>
      <c r="G186">
        <v>31</v>
      </c>
      <c r="H186">
        <v>59565</v>
      </c>
      <c r="I186">
        <v>274945</v>
      </c>
      <c r="J186">
        <v>13777</v>
      </c>
      <c r="K186">
        <v>35243</v>
      </c>
      <c r="L186">
        <v>845</v>
      </c>
      <c r="M186">
        <v>717361</v>
      </c>
      <c r="N186">
        <v>444261</v>
      </c>
      <c r="O186">
        <v>6655</v>
      </c>
      <c r="P186">
        <v>1153552</v>
      </c>
      <c r="Q186">
        <v>0.1</v>
      </c>
      <c r="R186">
        <v>20712069</v>
      </c>
      <c r="S186">
        <v>6044806</v>
      </c>
      <c r="T186">
        <v>7655628</v>
      </c>
      <c r="U186">
        <v>41.09</v>
      </c>
      <c r="V186">
        <v>8.43</v>
      </c>
      <c r="W186">
        <v>3283</v>
      </c>
      <c r="X186">
        <v>2.1</v>
      </c>
      <c r="Y186">
        <v>42.32</v>
      </c>
    </row>
    <row r="187" spans="1:25" x14ac:dyDescent="0.3">
      <c r="A187" t="s">
        <v>25</v>
      </c>
      <c r="B187" t="s">
        <v>33</v>
      </c>
      <c r="C187" t="s">
        <v>38</v>
      </c>
      <c r="D187" s="1">
        <v>44382</v>
      </c>
      <c r="E187">
        <v>14338428</v>
      </c>
      <c r="F187">
        <v>16885</v>
      </c>
      <c r="G187">
        <v>23.2</v>
      </c>
      <c r="H187">
        <v>31930</v>
      </c>
      <c r="I187">
        <v>576648</v>
      </c>
      <c r="J187">
        <v>38346</v>
      </c>
      <c r="K187">
        <v>16314</v>
      </c>
      <c r="L187">
        <v>892</v>
      </c>
      <c r="M187">
        <v>553688</v>
      </c>
      <c r="N187">
        <v>55709</v>
      </c>
      <c r="O187">
        <v>6190</v>
      </c>
      <c r="P187">
        <v>156183</v>
      </c>
      <c r="Q187">
        <v>28.79</v>
      </c>
      <c r="R187">
        <v>47267018</v>
      </c>
      <c r="S187">
        <v>6513638</v>
      </c>
      <c r="T187">
        <v>29559523</v>
      </c>
      <c r="U187">
        <v>55.5</v>
      </c>
      <c r="V187">
        <v>9.39</v>
      </c>
      <c r="W187">
        <v>4489</v>
      </c>
      <c r="X187">
        <v>4.25</v>
      </c>
      <c r="Y187">
        <v>98.25</v>
      </c>
    </row>
    <row r="188" spans="1:25" x14ac:dyDescent="0.3">
      <c r="A188" t="s">
        <v>27</v>
      </c>
      <c r="B188" t="s">
        <v>34</v>
      </c>
      <c r="C188" t="s">
        <v>41</v>
      </c>
      <c r="D188" s="1">
        <v>44383</v>
      </c>
      <c r="E188">
        <v>18630540</v>
      </c>
      <c r="F188">
        <v>19527</v>
      </c>
      <c r="G188">
        <v>39</v>
      </c>
      <c r="H188">
        <v>58233</v>
      </c>
      <c r="I188">
        <v>875340</v>
      </c>
      <c r="J188">
        <v>29441</v>
      </c>
      <c r="K188">
        <v>48447</v>
      </c>
      <c r="L188">
        <v>386</v>
      </c>
      <c r="M188">
        <v>14626</v>
      </c>
      <c r="N188">
        <v>191734</v>
      </c>
      <c r="O188">
        <v>771</v>
      </c>
      <c r="P188">
        <v>1687430</v>
      </c>
      <c r="Q188">
        <v>17.760000000000002</v>
      </c>
      <c r="R188">
        <v>7870579</v>
      </c>
      <c r="S188">
        <v>27419381</v>
      </c>
      <c r="T188">
        <v>308293</v>
      </c>
      <c r="U188">
        <v>24.35</v>
      </c>
      <c r="V188">
        <v>9.9</v>
      </c>
      <c r="W188">
        <v>1522</v>
      </c>
      <c r="X188">
        <v>0.87</v>
      </c>
      <c r="Y188">
        <v>15.67</v>
      </c>
    </row>
    <row r="189" spans="1:25" x14ac:dyDescent="0.3">
      <c r="A189" t="s">
        <v>25</v>
      </c>
      <c r="B189" t="s">
        <v>36</v>
      </c>
      <c r="C189" t="s">
        <v>41</v>
      </c>
      <c r="D189" s="1">
        <v>44384</v>
      </c>
      <c r="E189">
        <v>37426887</v>
      </c>
      <c r="F189">
        <v>17316</v>
      </c>
      <c r="G189">
        <v>49.1</v>
      </c>
      <c r="H189">
        <v>15380</v>
      </c>
      <c r="I189">
        <v>148631</v>
      </c>
      <c r="J189">
        <v>47819</v>
      </c>
      <c r="K189">
        <v>11304</v>
      </c>
      <c r="L189">
        <v>1249</v>
      </c>
      <c r="M189">
        <v>635986</v>
      </c>
      <c r="N189">
        <v>90145</v>
      </c>
      <c r="O189">
        <v>4030</v>
      </c>
      <c r="P189">
        <v>1307019</v>
      </c>
      <c r="Q189">
        <v>24.59</v>
      </c>
      <c r="R189">
        <v>44158120</v>
      </c>
      <c r="S189">
        <v>10256666</v>
      </c>
      <c r="T189">
        <v>24362213</v>
      </c>
      <c r="U189">
        <v>5.22</v>
      </c>
      <c r="V189">
        <v>4.2699999999999996</v>
      </c>
      <c r="W189">
        <v>2429</v>
      </c>
      <c r="X189">
        <v>0.21</v>
      </c>
      <c r="Y189">
        <v>54.08</v>
      </c>
    </row>
    <row r="190" spans="1:25" x14ac:dyDescent="0.3">
      <c r="A190" t="s">
        <v>28</v>
      </c>
      <c r="B190" t="s">
        <v>35</v>
      </c>
      <c r="C190" t="s">
        <v>39</v>
      </c>
      <c r="D190" s="1">
        <v>44385</v>
      </c>
      <c r="E190">
        <v>4768173</v>
      </c>
      <c r="F190">
        <v>10808</v>
      </c>
      <c r="G190">
        <v>36</v>
      </c>
      <c r="H190">
        <v>56830</v>
      </c>
      <c r="I190">
        <v>295478</v>
      </c>
      <c r="J190">
        <v>28469</v>
      </c>
      <c r="K190">
        <v>26435</v>
      </c>
      <c r="L190">
        <v>480</v>
      </c>
      <c r="M190">
        <v>726550</v>
      </c>
      <c r="N190">
        <v>324145</v>
      </c>
      <c r="O190">
        <v>7859</v>
      </c>
      <c r="P190">
        <v>1693832</v>
      </c>
      <c r="Q190">
        <v>24.76</v>
      </c>
      <c r="R190">
        <v>48108366</v>
      </c>
      <c r="S190">
        <v>16341185</v>
      </c>
      <c r="T190">
        <v>7093727</v>
      </c>
      <c r="U190">
        <v>93.92</v>
      </c>
      <c r="V190">
        <v>9.91</v>
      </c>
      <c r="W190">
        <v>4922</v>
      </c>
      <c r="X190">
        <v>3.95</v>
      </c>
      <c r="Y190">
        <v>9.89</v>
      </c>
    </row>
    <row r="191" spans="1:25" x14ac:dyDescent="0.3">
      <c r="A191" t="s">
        <v>27</v>
      </c>
      <c r="B191" t="s">
        <v>33</v>
      </c>
      <c r="C191" t="s">
        <v>39</v>
      </c>
      <c r="D191" s="1">
        <v>44386</v>
      </c>
      <c r="E191">
        <v>6534722</v>
      </c>
      <c r="F191">
        <v>19711</v>
      </c>
      <c r="G191">
        <v>40.9</v>
      </c>
      <c r="H191">
        <v>6529</v>
      </c>
      <c r="I191">
        <v>237545</v>
      </c>
      <c r="J191">
        <v>3845</v>
      </c>
      <c r="K191">
        <v>3185</v>
      </c>
      <c r="L191">
        <v>1777</v>
      </c>
      <c r="M191">
        <v>743604</v>
      </c>
      <c r="N191">
        <v>267947</v>
      </c>
      <c r="O191">
        <v>521</v>
      </c>
      <c r="P191">
        <v>62600</v>
      </c>
      <c r="Q191">
        <v>1.99</v>
      </c>
      <c r="R191">
        <v>38844731</v>
      </c>
      <c r="S191">
        <v>6034478</v>
      </c>
      <c r="T191">
        <v>27783700</v>
      </c>
      <c r="U191">
        <v>18.670000000000002</v>
      </c>
      <c r="V191">
        <v>1.98</v>
      </c>
      <c r="W191">
        <v>3021</v>
      </c>
      <c r="X191">
        <v>0.47</v>
      </c>
      <c r="Y191">
        <v>31.85</v>
      </c>
    </row>
    <row r="192" spans="1:25" x14ac:dyDescent="0.3">
      <c r="A192" t="s">
        <v>26</v>
      </c>
      <c r="B192" t="s">
        <v>34</v>
      </c>
      <c r="C192" t="s">
        <v>41</v>
      </c>
      <c r="D192" s="1">
        <v>44387</v>
      </c>
      <c r="E192">
        <v>43312847</v>
      </c>
      <c r="F192">
        <v>16361</v>
      </c>
      <c r="G192">
        <v>20.2</v>
      </c>
      <c r="H192">
        <v>50178</v>
      </c>
      <c r="I192">
        <v>14288</v>
      </c>
      <c r="J192">
        <v>44650</v>
      </c>
      <c r="K192">
        <v>40627</v>
      </c>
      <c r="L192">
        <v>407</v>
      </c>
      <c r="M192">
        <v>341947</v>
      </c>
      <c r="N192">
        <v>223817</v>
      </c>
      <c r="O192">
        <v>3355</v>
      </c>
      <c r="P192">
        <v>575310</v>
      </c>
      <c r="Q192">
        <v>5.13</v>
      </c>
      <c r="R192">
        <v>18144041</v>
      </c>
      <c r="S192">
        <v>4594641</v>
      </c>
      <c r="T192">
        <v>14031723</v>
      </c>
      <c r="U192">
        <v>19.84</v>
      </c>
      <c r="V192">
        <v>2.91</v>
      </c>
      <c r="W192">
        <v>2431</v>
      </c>
      <c r="X192">
        <v>4.9400000000000004</v>
      </c>
      <c r="Y192">
        <v>52.75</v>
      </c>
    </row>
    <row r="193" spans="1:25" x14ac:dyDescent="0.3">
      <c r="A193" t="s">
        <v>27</v>
      </c>
      <c r="B193" t="s">
        <v>35</v>
      </c>
      <c r="C193" t="s">
        <v>39</v>
      </c>
      <c r="D193" s="1">
        <v>44388</v>
      </c>
      <c r="E193">
        <v>24287347</v>
      </c>
      <c r="F193">
        <v>8616</v>
      </c>
      <c r="G193">
        <v>31.4</v>
      </c>
      <c r="H193">
        <v>7937</v>
      </c>
      <c r="I193">
        <v>678758</v>
      </c>
      <c r="J193">
        <v>23290</v>
      </c>
      <c r="K193">
        <v>45251</v>
      </c>
      <c r="L193">
        <v>1480</v>
      </c>
      <c r="M193">
        <v>217151</v>
      </c>
      <c r="N193">
        <v>325359</v>
      </c>
      <c r="O193">
        <v>1400</v>
      </c>
      <c r="P193">
        <v>1708135</v>
      </c>
      <c r="Q193">
        <v>9.33</v>
      </c>
      <c r="R193">
        <v>46334323</v>
      </c>
      <c r="S193">
        <v>24082953</v>
      </c>
      <c r="T193">
        <v>26793200</v>
      </c>
      <c r="U193">
        <v>47.25</v>
      </c>
      <c r="V193">
        <v>1.35</v>
      </c>
      <c r="W193">
        <v>3340</v>
      </c>
      <c r="X193">
        <v>3.41</v>
      </c>
      <c r="Y193">
        <v>94.66</v>
      </c>
    </row>
    <row r="194" spans="1:25" x14ac:dyDescent="0.3">
      <c r="A194" t="s">
        <v>25</v>
      </c>
      <c r="B194" t="s">
        <v>36</v>
      </c>
      <c r="C194" t="s">
        <v>38</v>
      </c>
      <c r="D194" s="1">
        <v>44389</v>
      </c>
      <c r="E194">
        <v>17111127</v>
      </c>
      <c r="F194">
        <v>11939</v>
      </c>
      <c r="G194">
        <v>21.7</v>
      </c>
      <c r="H194">
        <v>40886</v>
      </c>
      <c r="I194">
        <v>208302</v>
      </c>
      <c r="J194">
        <v>47015</v>
      </c>
      <c r="K194">
        <v>27785</v>
      </c>
      <c r="L194">
        <v>1676</v>
      </c>
      <c r="M194">
        <v>329705</v>
      </c>
      <c r="N194">
        <v>219262</v>
      </c>
      <c r="O194">
        <v>3723</v>
      </c>
      <c r="P194">
        <v>838329</v>
      </c>
      <c r="Q194">
        <v>9.6199999999999992</v>
      </c>
      <c r="R194">
        <v>3828471</v>
      </c>
      <c r="S194">
        <v>7815157</v>
      </c>
      <c r="T194">
        <v>28766458</v>
      </c>
      <c r="U194">
        <v>49.16</v>
      </c>
      <c r="V194">
        <v>3.08</v>
      </c>
      <c r="W194">
        <v>4803</v>
      </c>
      <c r="X194">
        <v>3.79</v>
      </c>
      <c r="Y194">
        <v>39.119999999999997</v>
      </c>
    </row>
    <row r="195" spans="1:25" x14ac:dyDescent="0.3">
      <c r="A195" t="s">
        <v>28</v>
      </c>
      <c r="B195" t="s">
        <v>33</v>
      </c>
      <c r="C195" t="s">
        <v>40</v>
      </c>
      <c r="D195" s="1">
        <v>44390</v>
      </c>
      <c r="E195">
        <v>4570028</v>
      </c>
      <c r="F195">
        <v>11304</v>
      </c>
      <c r="G195">
        <v>37.6</v>
      </c>
      <c r="H195">
        <v>50699</v>
      </c>
      <c r="I195">
        <v>799623</v>
      </c>
      <c r="J195">
        <v>30699</v>
      </c>
      <c r="K195">
        <v>9435</v>
      </c>
      <c r="L195">
        <v>897</v>
      </c>
      <c r="M195">
        <v>492780</v>
      </c>
      <c r="N195">
        <v>27776</v>
      </c>
      <c r="O195">
        <v>6579</v>
      </c>
      <c r="P195">
        <v>825470</v>
      </c>
      <c r="Q195">
        <v>19.760000000000002</v>
      </c>
      <c r="R195">
        <v>2120556</v>
      </c>
      <c r="S195">
        <v>13669152</v>
      </c>
      <c r="T195">
        <v>14504070</v>
      </c>
      <c r="U195">
        <v>1.84</v>
      </c>
      <c r="V195">
        <v>7.8</v>
      </c>
      <c r="W195">
        <v>1883</v>
      </c>
      <c r="X195">
        <v>1.3</v>
      </c>
      <c r="Y195">
        <v>6.49</v>
      </c>
    </row>
    <row r="196" spans="1:25" x14ac:dyDescent="0.3">
      <c r="A196" t="s">
        <v>28</v>
      </c>
      <c r="B196" t="s">
        <v>35</v>
      </c>
      <c r="C196" t="s">
        <v>38</v>
      </c>
      <c r="D196" s="1">
        <v>44391</v>
      </c>
      <c r="E196">
        <v>25228252</v>
      </c>
      <c r="F196">
        <v>11492</v>
      </c>
      <c r="G196">
        <v>48</v>
      </c>
      <c r="H196">
        <v>26279</v>
      </c>
      <c r="I196">
        <v>281195</v>
      </c>
      <c r="J196">
        <v>44252</v>
      </c>
      <c r="K196">
        <v>26023</v>
      </c>
      <c r="L196">
        <v>710</v>
      </c>
      <c r="M196">
        <v>17478</v>
      </c>
      <c r="N196">
        <v>455026</v>
      </c>
      <c r="O196">
        <v>3247</v>
      </c>
      <c r="P196">
        <v>124323</v>
      </c>
      <c r="Q196">
        <v>18.690000000000001</v>
      </c>
      <c r="R196">
        <v>15539152</v>
      </c>
      <c r="S196">
        <v>38665094</v>
      </c>
      <c r="T196">
        <v>15330393</v>
      </c>
      <c r="U196">
        <v>14.8</v>
      </c>
      <c r="V196">
        <v>8.6</v>
      </c>
      <c r="W196">
        <v>503</v>
      </c>
      <c r="X196">
        <v>3.4</v>
      </c>
      <c r="Y196">
        <v>38.82</v>
      </c>
    </row>
    <row r="197" spans="1:25" x14ac:dyDescent="0.3">
      <c r="A197" t="s">
        <v>30</v>
      </c>
      <c r="B197" t="s">
        <v>35</v>
      </c>
      <c r="C197" t="s">
        <v>41</v>
      </c>
      <c r="D197" s="1">
        <v>44392</v>
      </c>
      <c r="E197">
        <v>24147205</v>
      </c>
      <c r="F197">
        <v>13571</v>
      </c>
      <c r="G197">
        <v>39.200000000000003</v>
      </c>
      <c r="H197">
        <v>39106</v>
      </c>
      <c r="I197">
        <v>62715</v>
      </c>
      <c r="J197">
        <v>33146</v>
      </c>
      <c r="K197">
        <v>27938</v>
      </c>
      <c r="L197">
        <v>1647</v>
      </c>
      <c r="M197">
        <v>581132</v>
      </c>
      <c r="N197">
        <v>453393</v>
      </c>
      <c r="O197">
        <v>1858</v>
      </c>
      <c r="P197">
        <v>1235686</v>
      </c>
      <c r="Q197">
        <v>14.84</v>
      </c>
      <c r="R197">
        <v>31594054</v>
      </c>
      <c r="S197">
        <v>1556610</v>
      </c>
      <c r="T197">
        <v>11822670</v>
      </c>
      <c r="U197">
        <v>37.82</v>
      </c>
      <c r="V197">
        <v>7.9</v>
      </c>
      <c r="W197">
        <v>790</v>
      </c>
      <c r="X197">
        <v>0.31</v>
      </c>
      <c r="Y197">
        <v>14.57</v>
      </c>
    </row>
    <row r="198" spans="1:25" x14ac:dyDescent="0.3">
      <c r="A198" t="s">
        <v>26</v>
      </c>
      <c r="B198" t="s">
        <v>35</v>
      </c>
      <c r="C198" t="s">
        <v>41</v>
      </c>
      <c r="D198" s="1">
        <v>44393</v>
      </c>
      <c r="E198">
        <v>45107536</v>
      </c>
      <c r="F198">
        <v>4609</v>
      </c>
      <c r="G198">
        <v>20.5</v>
      </c>
      <c r="H198">
        <v>41544</v>
      </c>
      <c r="I198">
        <v>11737</v>
      </c>
      <c r="J198">
        <v>3293</v>
      </c>
      <c r="K198">
        <v>45000</v>
      </c>
      <c r="L198">
        <v>638</v>
      </c>
      <c r="M198">
        <v>309292</v>
      </c>
      <c r="N198">
        <v>383576</v>
      </c>
      <c r="O198">
        <v>4781</v>
      </c>
      <c r="P198">
        <v>1694142</v>
      </c>
      <c r="Q198">
        <v>6.34</v>
      </c>
      <c r="R198">
        <v>9904283</v>
      </c>
      <c r="S198">
        <v>26712877</v>
      </c>
      <c r="T198">
        <v>19373495</v>
      </c>
      <c r="U198">
        <v>68.37</v>
      </c>
      <c r="V198">
        <v>6.5</v>
      </c>
      <c r="W198">
        <v>2430</v>
      </c>
      <c r="X198">
        <v>4.21</v>
      </c>
      <c r="Y198">
        <v>23</v>
      </c>
    </row>
    <row r="199" spans="1:25" x14ac:dyDescent="0.3">
      <c r="A199" t="s">
        <v>29</v>
      </c>
      <c r="B199" t="s">
        <v>33</v>
      </c>
      <c r="C199" t="s">
        <v>38</v>
      </c>
      <c r="D199" s="1">
        <v>44394</v>
      </c>
      <c r="E199">
        <v>33416781</v>
      </c>
      <c r="F199">
        <v>16249</v>
      </c>
      <c r="G199">
        <v>29.3</v>
      </c>
      <c r="H199">
        <v>9997</v>
      </c>
      <c r="I199">
        <v>590428</v>
      </c>
      <c r="J199">
        <v>44398</v>
      </c>
      <c r="K199">
        <v>41222</v>
      </c>
      <c r="L199">
        <v>1044</v>
      </c>
      <c r="M199">
        <v>263699</v>
      </c>
      <c r="N199">
        <v>220512</v>
      </c>
      <c r="O199">
        <v>4064</v>
      </c>
      <c r="P199">
        <v>898486</v>
      </c>
      <c r="Q199">
        <v>11.46</v>
      </c>
      <c r="R199">
        <v>8489573</v>
      </c>
      <c r="S199">
        <v>311356</v>
      </c>
      <c r="T199">
        <v>10796329</v>
      </c>
      <c r="U199">
        <v>22.84</v>
      </c>
      <c r="V199">
        <v>5.38</v>
      </c>
      <c r="W199">
        <v>2407</v>
      </c>
      <c r="X199">
        <v>0.93</v>
      </c>
      <c r="Y199">
        <v>61.81</v>
      </c>
    </row>
    <row r="200" spans="1:25" x14ac:dyDescent="0.3">
      <c r="A200" t="s">
        <v>29</v>
      </c>
      <c r="B200" t="s">
        <v>33</v>
      </c>
      <c r="C200" t="s">
        <v>39</v>
      </c>
      <c r="D200" s="1">
        <v>44395</v>
      </c>
      <c r="E200">
        <v>11760784</v>
      </c>
      <c r="F200">
        <v>7341</v>
      </c>
      <c r="G200">
        <v>35.6</v>
      </c>
      <c r="H200">
        <v>41860</v>
      </c>
      <c r="I200">
        <v>681611</v>
      </c>
      <c r="J200">
        <v>46428</v>
      </c>
      <c r="K200">
        <v>8220</v>
      </c>
      <c r="L200">
        <v>1682</v>
      </c>
      <c r="M200">
        <v>76082</v>
      </c>
      <c r="N200">
        <v>176612</v>
      </c>
      <c r="O200">
        <v>2398</v>
      </c>
      <c r="P200">
        <v>1319617</v>
      </c>
      <c r="Q200">
        <v>16.309999999999999</v>
      </c>
      <c r="R200">
        <v>3316219</v>
      </c>
      <c r="S200">
        <v>11487395</v>
      </c>
      <c r="T200">
        <v>27897139</v>
      </c>
      <c r="U200">
        <v>42.3</v>
      </c>
      <c r="V200">
        <v>7.23</v>
      </c>
      <c r="W200">
        <v>1493</v>
      </c>
      <c r="X200">
        <v>3.52</v>
      </c>
      <c r="Y200">
        <v>6.74</v>
      </c>
    </row>
    <row r="201" spans="1:25" x14ac:dyDescent="0.3">
      <c r="A201" t="s">
        <v>27</v>
      </c>
      <c r="B201" t="s">
        <v>32</v>
      </c>
      <c r="C201" t="s">
        <v>39</v>
      </c>
      <c r="D201" s="1">
        <v>44396</v>
      </c>
      <c r="E201">
        <v>1869277</v>
      </c>
      <c r="F201">
        <v>8210</v>
      </c>
      <c r="G201">
        <v>30.9</v>
      </c>
      <c r="H201">
        <v>4225</v>
      </c>
      <c r="I201">
        <v>183047</v>
      </c>
      <c r="J201">
        <v>16608</v>
      </c>
      <c r="K201">
        <v>2769</v>
      </c>
      <c r="L201">
        <v>1624</v>
      </c>
      <c r="M201">
        <v>232959</v>
      </c>
      <c r="N201">
        <v>168095</v>
      </c>
      <c r="O201">
        <v>142</v>
      </c>
      <c r="P201">
        <v>589829</v>
      </c>
      <c r="Q201">
        <v>14.04</v>
      </c>
      <c r="R201">
        <v>24863184</v>
      </c>
      <c r="S201">
        <v>19998220</v>
      </c>
      <c r="T201">
        <v>10702949</v>
      </c>
      <c r="U201">
        <v>55.73</v>
      </c>
      <c r="V201">
        <v>4.21</v>
      </c>
      <c r="W201">
        <v>3730</v>
      </c>
      <c r="X201">
        <v>1.2</v>
      </c>
      <c r="Y201">
        <v>46.47</v>
      </c>
    </row>
    <row r="202" spans="1:25" x14ac:dyDescent="0.3">
      <c r="A202" t="s">
        <v>30</v>
      </c>
      <c r="B202" t="s">
        <v>36</v>
      </c>
      <c r="C202" t="s">
        <v>41</v>
      </c>
      <c r="D202" s="1">
        <v>44397</v>
      </c>
      <c r="E202">
        <v>22799783</v>
      </c>
      <c r="F202">
        <v>162</v>
      </c>
      <c r="G202">
        <v>44.7</v>
      </c>
      <c r="H202">
        <v>60470</v>
      </c>
      <c r="I202">
        <v>268291</v>
      </c>
      <c r="J202">
        <v>737</v>
      </c>
      <c r="K202">
        <v>16101</v>
      </c>
      <c r="L202">
        <v>814</v>
      </c>
      <c r="M202">
        <v>606002</v>
      </c>
      <c r="N202">
        <v>292046</v>
      </c>
      <c r="O202">
        <v>5062</v>
      </c>
      <c r="P202">
        <v>1156544</v>
      </c>
      <c r="Q202">
        <v>3.82</v>
      </c>
      <c r="R202">
        <v>41521934</v>
      </c>
      <c r="S202">
        <v>8139023</v>
      </c>
      <c r="T202">
        <v>25814376</v>
      </c>
      <c r="U202">
        <v>88.86</v>
      </c>
      <c r="V202">
        <v>8.49</v>
      </c>
      <c r="W202">
        <v>1798</v>
      </c>
      <c r="X202">
        <v>0.44</v>
      </c>
      <c r="Y202">
        <v>60.95</v>
      </c>
    </row>
    <row r="203" spans="1:25" x14ac:dyDescent="0.3">
      <c r="A203" t="s">
        <v>31</v>
      </c>
      <c r="B203" t="s">
        <v>34</v>
      </c>
      <c r="C203" t="s">
        <v>37</v>
      </c>
      <c r="D203" s="1">
        <v>44398</v>
      </c>
      <c r="E203">
        <v>23999306</v>
      </c>
      <c r="F203">
        <v>19631</v>
      </c>
      <c r="G203">
        <v>44.1</v>
      </c>
      <c r="H203">
        <v>64656</v>
      </c>
      <c r="I203">
        <v>575796</v>
      </c>
      <c r="J203">
        <v>16619</v>
      </c>
      <c r="K203">
        <v>12</v>
      </c>
      <c r="L203">
        <v>917</v>
      </c>
      <c r="M203">
        <v>438592</v>
      </c>
      <c r="N203">
        <v>352575</v>
      </c>
      <c r="O203">
        <v>3469</v>
      </c>
      <c r="P203">
        <v>1588756</v>
      </c>
      <c r="Q203">
        <v>19.489999999999998</v>
      </c>
      <c r="R203">
        <v>49656611</v>
      </c>
      <c r="S203">
        <v>6356687</v>
      </c>
      <c r="T203">
        <v>15052399</v>
      </c>
      <c r="U203">
        <v>32.61</v>
      </c>
      <c r="V203">
        <v>6.93</v>
      </c>
      <c r="W203">
        <v>2451</v>
      </c>
      <c r="X203">
        <v>2.46</v>
      </c>
      <c r="Y203">
        <v>42.19</v>
      </c>
    </row>
    <row r="204" spans="1:25" x14ac:dyDescent="0.3">
      <c r="A204" t="s">
        <v>27</v>
      </c>
      <c r="B204" t="s">
        <v>35</v>
      </c>
      <c r="C204" t="s">
        <v>39</v>
      </c>
      <c r="D204" s="1">
        <v>44399</v>
      </c>
      <c r="E204">
        <v>1249971</v>
      </c>
      <c r="F204">
        <v>15974</v>
      </c>
      <c r="G204">
        <v>37.6</v>
      </c>
      <c r="H204">
        <v>52880</v>
      </c>
      <c r="I204">
        <v>315368</v>
      </c>
      <c r="J204">
        <v>12470</v>
      </c>
      <c r="K204">
        <v>40968</v>
      </c>
      <c r="L204">
        <v>202</v>
      </c>
      <c r="M204">
        <v>512079</v>
      </c>
      <c r="N204">
        <v>456220</v>
      </c>
      <c r="O204">
        <v>3695</v>
      </c>
      <c r="P204">
        <v>926775</v>
      </c>
      <c r="Q204">
        <v>2.19</v>
      </c>
      <c r="R204">
        <v>46245613</v>
      </c>
      <c r="S204">
        <v>5875445</v>
      </c>
      <c r="T204">
        <v>18005607</v>
      </c>
      <c r="U204">
        <v>13.36</v>
      </c>
      <c r="V204">
        <v>7.13</v>
      </c>
      <c r="W204">
        <v>4969</v>
      </c>
      <c r="X204">
        <v>0.93</v>
      </c>
      <c r="Y204">
        <v>1.91</v>
      </c>
    </row>
    <row r="205" spans="1:25" x14ac:dyDescent="0.3">
      <c r="A205" t="s">
        <v>30</v>
      </c>
      <c r="B205" t="s">
        <v>32</v>
      </c>
      <c r="C205" t="s">
        <v>38</v>
      </c>
      <c r="D205" s="1">
        <v>44400</v>
      </c>
      <c r="E205">
        <v>16211072</v>
      </c>
      <c r="F205">
        <v>16573</v>
      </c>
      <c r="G205">
        <v>30</v>
      </c>
      <c r="H205">
        <v>62078</v>
      </c>
      <c r="I205">
        <v>282787</v>
      </c>
      <c r="J205">
        <v>49863</v>
      </c>
      <c r="K205">
        <v>30170</v>
      </c>
      <c r="L205">
        <v>416</v>
      </c>
      <c r="M205">
        <v>748020</v>
      </c>
      <c r="N205">
        <v>453478</v>
      </c>
      <c r="O205">
        <v>717</v>
      </c>
      <c r="P205">
        <v>1074391</v>
      </c>
      <c r="Q205">
        <v>11.35</v>
      </c>
      <c r="R205">
        <v>36511860</v>
      </c>
      <c r="S205">
        <v>13801604</v>
      </c>
      <c r="T205">
        <v>12563983</v>
      </c>
      <c r="U205">
        <v>48.93</v>
      </c>
      <c r="V205">
        <v>5.59</v>
      </c>
      <c r="W205">
        <v>3221</v>
      </c>
      <c r="X205">
        <v>3.67</v>
      </c>
      <c r="Y205">
        <v>98.55</v>
      </c>
    </row>
    <row r="206" spans="1:25" x14ac:dyDescent="0.3">
      <c r="A206" t="s">
        <v>26</v>
      </c>
      <c r="B206" t="s">
        <v>34</v>
      </c>
      <c r="C206" t="s">
        <v>39</v>
      </c>
      <c r="D206" s="1">
        <v>44401</v>
      </c>
      <c r="E206">
        <v>46609273</v>
      </c>
      <c r="F206">
        <v>1474</v>
      </c>
      <c r="G206">
        <v>26.2</v>
      </c>
      <c r="H206">
        <v>57633</v>
      </c>
      <c r="I206">
        <v>302111</v>
      </c>
      <c r="J206">
        <v>22372</v>
      </c>
      <c r="K206">
        <v>20717</v>
      </c>
      <c r="L206">
        <v>415</v>
      </c>
      <c r="M206">
        <v>894886</v>
      </c>
      <c r="N206">
        <v>124886</v>
      </c>
      <c r="O206">
        <v>642</v>
      </c>
      <c r="P206">
        <v>833044</v>
      </c>
      <c r="Q206">
        <v>21.3</v>
      </c>
      <c r="R206">
        <v>47048759</v>
      </c>
      <c r="S206">
        <v>39081203</v>
      </c>
      <c r="T206">
        <v>15152735</v>
      </c>
      <c r="U206">
        <v>74.67</v>
      </c>
      <c r="V206">
        <v>8.91</v>
      </c>
      <c r="W206">
        <v>4290</v>
      </c>
      <c r="X206">
        <v>1.26</v>
      </c>
      <c r="Y206">
        <v>36.71</v>
      </c>
    </row>
    <row r="207" spans="1:25" x14ac:dyDescent="0.3">
      <c r="A207" t="s">
        <v>26</v>
      </c>
      <c r="B207" t="s">
        <v>32</v>
      </c>
      <c r="C207" t="s">
        <v>38</v>
      </c>
      <c r="D207" s="1">
        <v>44402</v>
      </c>
      <c r="E207">
        <v>42276934</v>
      </c>
      <c r="F207">
        <v>19383</v>
      </c>
      <c r="G207">
        <v>21.4</v>
      </c>
      <c r="H207">
        <v>27655</v>
      </c>
      <c r="I207">
        <v>104535</v>
      </c>
      <c r="J207">
        <v>16117</v>
      </c>
      <c r="K207">
        <v>15258</v>
      </c>
      <c r="L207">
        <v>1471</v>
      </c>
      <c r="M207">
        <v>563513</v>
      </c>
      <c r="N207">
        <v>327413</v>
      </c>
      <c r="O207">
        <v>2548</v>
      </c>
      <c r="P207">
        <v>1476149</v>
      </c>
      <c r="Q207">
        <v>0.6</v>
      </c>
      <c r="R207">
        <v>39880030</v>
      </c>
      <c r="S207">
        <v>28024792</v>
      </c>
      <c r="T207">
        <v>4035876</v>
      </c>
      <c r="U207">
        <v>10.99</v>
      </c>
      <c r="V207">
        <v>2.89</v>
      </c>
      <c r="W207">
        <v>2056</v>
      </c>
      <c r="X207">
        <v>1.78</v>
      </c>
      <c r="Y207">
        <v>77.86</v>
      </c>
    </row>
    <row r="208" spans="1:25" x14ac:dyDescent="0.3">
      <c r="A208" t="s">
        <v>26</v>
      </c>
      <c r="B208" t="s">
        <v>33</v>
      </c>
      <c r="C208" t="s">
        <v>41</v>
      </c>
      <c r="D208" s="1">
        <v>44403</v>
      </c>
      <c r="E208">
        <v>25027188</v>
      </c>
      <c r="F208">
        <v>19602</v>
      </c>
      <c r="G208">
        <v>29.4</v>
      </c>
      <c r="H208">
        <v>44601</v>
      </c>
      <c r="I208">
        <v>828165</v>
      </c>
      <c r="J208">
        <v>14779</v>
      </c>
      <c r="K208">
        <v>5783</v>
      </c>
      <c r="L208">
        <v>1535</v>
      </c>
      <c r="M208">
        <v>398971</v>
      </c>
      <c r="N208">
        <v>68247</v>
      </c>
      <c r="O208">
        <v>8561</v>
      </c>
      <c r="P208">
        <v>469304</v>
      </c>
      <c r="Q208">
        <v>17.100000000000001</v>
      </c>
      <c r="R208">
        <v>15998177</v>
      </c>
      <c r="S208">
        <v>12532709</v>
      </c>
      <c r="T208">
        <v>17824913</v>
      </c>
      <c r="U208">
        <v>42.47</v>
      </c>
      <c r="V208">
        <v>4.12</v>
      </c>
      <c r="W208">
        <v>1836</v>
      </c>
      <c r="X208">
        <v>2.88</v>
      </c>
      <c r="Y208">
        <v>32.56</v>
      </c>
    </row>
    <row r="209" spans="1:25" x14ac:dyDescent="0.3">
      <c r="A209" t="s">
        <v>26</v>
      </c>
      <c r="B209" t="s">
        <v>35</v>
      </c>
      <c r="C209" t="s">
        <v>39</v>
      </c>
      <c r="D209" s="1">
        <v>44404</v>
      </c>
      <c r="E209">
        <v>4960276</v>
      </c>
      <c r="F209">
        <v>10858</v>
      </c>
      <c r="G209">
        <v>31.2</v>
      </c>
      <c r="H209">
        <v>4114</v>
      </c>
      <c r="I209">
        <v>297952</v>
      </c>
      <c r="J209">
        <v>29294</v>
      </c>
      <c r="K209">
        <v>12796</v>
      </c>
      <c r="L209">
        <v>84</v>
      </c>
      <c r="M209">
        <v>468663</v>
      </c>
      <c r="N209">
        <v>22175</v>
      </c>
      <c r="O209">
        <v>3650</v>
      </c>
      <c r="P209">
        <v>803699</v>
      </c>
      <c r="Q209">
        <v>10.039999999999999</v>
      </c>
      <c r="R209">
        <v>44142473</v>
      </c>
      <c r="S209">
        <v>24379429</v>
      </c>
      <c r="T209">
        <v>29561235</v>
      </c>
      <c r="U209">
        <v>1.78</v>
      </c>
      <c r="V209">
        <v>7.89</v>
      </c>
      <c r="W209">
        <v>1459</v>
      </c>
      <c r="X209">
        <v>1.5</v>
      </c>
      <c r="Y209">
        <v>47.5</v>
      </c>
    </row>
    <row r="210" spans="1:25" x14ac:dyDescent="0.3">
      <c r="A210" t="s">
        <v>26</v>
      </c>
      <c r="B210" t="s">
        <v>34</v>
      </c>
      <c r="C210" t="s">
        <v>38</v>
      </c>
      <c r="D210" s="1">
        <v>44405</v>
      </c>
      <c r="E210">
        <v>41511120</v>
      </c>
      <c r="F210">
        <v>6093</v>
      </c>
      <c r="G210">
        <v>39.6</v>
      </c>
      <c r="H210">
        <v>27502</v>
      </c>
      <c r="I210">
        <v>513438</v>
      </c>
      <c r="J210">
        <v>21630</v>
      </c>
      <c r="K210">
        <v>15047</v>
      </c>
      <c r="L210">
        <v>166</v>
      </c>
      <c r="M210">
        <v>840312</v>
      </c>
      <c r="N210">
        <v>344259</v>
      </c>
      <c r="O210">
        <v>7549</v>
      </c>
      <c r="P210">
        <v>805700</v>
      </c>
      <c r="Q210">
        <v>0.26</v>
      </c>
      <c r="R210">
        <v>47608029</v>
      </c>
      <c r="S210">
        <v>18972215</v>
      </c>
      <c r="T210">
        <v>26121005</v>
      </c>
      <c r="U210">
        <v>3.36</v>
      </c>
      <c r="V210">
        <v>5.18</v>
      </c>
      <c r="W210">
        <v>1812</v>
      </c>
      <c r="X210">
        <v>1.95</v>
      </c>
      <c r="Y210">
        <v>38.85</v>
      </c>
    </row>
    <row r="211" spans="1:25" x14ac:dyDescent="0.3">
      <c r="A211" t="s">
        <v>30</v>
      </c>
      <c r="B211" t="s">
        <v>34</v>
      </c>
      <c r="C211" t="s">
        <v>41</v>
      </c>
      <c r="D211" s="1">
        <v>44406</v>
      </c>
      <c r="E211">
        <v>27007881</v>
      </c>
      <c r="F211">
        <v>7039</v>
      </c>
      <c r="G211">
        <v>39.1</v>
      </c>
      <c r="H211">
        <v>50768</v>
      </c>
      <c r="I211">
        <v>723648</v>
      </c>
      <c r="J211">
        <v>40039</v>
      </c>
      <c r="K211">
        <v>1895</v>
      </c>
      <c r="L211">
        <v>383</v>
      </c>
      <c r="M211">
        <v>770508</v>
      </c>
      <c r="N211">
        <v>205888</v>
      </c>
      <c r="O211">
        <v>8978</v>
      </c>
      <c r="P211">
        <v>639751</v>
      </c>
      <c r="Q211">
        <v>5.71</v>
      </c>
      <c r="R211">
        <v>47719596</v>
      </c>
      <c r="S211">
        <v>16356670</v>
      </c>
      <c r="T211">
        <v>15260673</v>
      </c>
      <c r="U211">
        <v>48.3</v>
      </c>
      <c r="V211">
        <v>8.9499999999999993</v>
      </c>
      <c r="W211">
        <v>959</v>
      </c>
      <c r="X211">
        <v>4.0999999999999996</v>
      </c>
      <c r="Y211">
        <v>34.25</v>
      </c>
    </row>
    <row r="212" spans="1:25" x14ac:dyDescent="0.3">
      <c r="A212" t="s">
        <v>30</v>
      </c>
      <c r="B212" t="s">
        <v>34</v>
      </c>
      <c r="C212" t="s">
        <v>37</v>
      </c>
      <c r="D212" s="1">
        <v>44407</v>
      </c>
      <c r="E212">
        <v>42928797</v>
      </c>
      <c r="F212">
        <v>6311</v>
      </c>
      <c r="G212">
        <v>20.2</v>
      </c>
      <c r="H212">
        <v>49128</v>
      </c>
      <c r="I212">
        <v>584247</v>
      </c>
      <c r="J212">
        <v>49900</v>
      </c>
      <c r="K212">
        <v>39838</v>
      </c>
      <c r="L212">
        <v>467</v>
      </c>
      <c r="M212">
        <v>578121</v>
      </c>
      <c r="N212">
        <v>9404</v>
      </c>
      <c r="O212">
        <v>949</v>
      </c>
      <c r="P212">
        <v>1981343</v>
      </c>
      <c r="Q212">
        <v>28.23</v>
      </c>
      <c r="R212">
        <v>24628563</v>
      </c>
      <c r="S212">
        <v>34332157</v>
      </c>
      <c r="T212">
        <v>11910262</v>
      </c>
      <c r="U212">
        <v>29.82</v>
      </c>
      <c r="V212">
        <v>3.79</v>
      </c>
      <c r="W212">
        <v>810</v>
      </c>
      <c r="X212">
        <v>0.98</v>
      </c>
      <c r="Y212">
        <v>2.19</v>
      </c>
    </row>
    <row r="213" spans="1:25" x14ac:dyDescent="0.3">
      <c r="A213" t="s">
        <v>28</v>
      </c>
      <c r="B213" t="s">
        <v>34</v>
      </c>
      <c r="C213" t="s">
        <v>38</v>
      </c>
      <c r="D213" s="1">
        <v>44408</v>
      </c>
      <c r="E213">
        <v>27945000</v>
      </c>
      <c r="F213">
        <v>937</v>
      </c>
      <c r="G213">
        <v>30.6</v>
      </c>
      <c r="H213">
        <v>21028</v>
      </c>
      <c r="I213">
        <v>396065</v>
      </c>
      <c r="J213">
        <v>12178</v>
      </c>
      <c r="K213">
        <v>16341</v>
      </c>
      <c r="L213">
        <v>1095</v>
      </c>
      <c r="M213">
        <v>305103</v>
      </c>
      <c r="N213">
        <v>129951</v>
      </c>
      <c r="O213">
        <v>5444</v>
      </c>
      <c r="P213">
        <v>465151</v>
      </c>
      <c r="Q213">
        <v>15.63</v>
      </c>
      <c r="R213">
        <v>17888761</v>
      </c>
      <c r="S213">
        <v>23117175</v>
      </c>
      <c r="T213">
        <v>14789462</v>
      </c>
      <c r="U213">
        <v>84.51</v>
      </c>
      <c r="V213">
        <v>4.01</v>
      </c>
      <c r="W213">
        <v>3290</v>
      </c>
      <c r="X213">
        <v>0.5</v>
      </c>
      <c r="Y213">
        <v>36</v>
      </c>
    </row>
    <row r="214" spans="1:25" x14ac:dyDescent="0.3">
      <c r="A214" t="s">
        <v>29</v>
      </c>
      <c r="B214" t="s">
        <v>34</v>
      </c>
      <c r="C214" t="s">
        <v>37</v>
      </c>
      <c r="D214" s="1">
        <v>44409</v>
      </c>
      <c r="E214">
        <v>18462327</v>
      </c>
      <c r="F214">
        <v>19538</v>
      </c>
      <c r="G214">
        <v>23.8</v>
      </c>
      <c r="H214">
        <v>56565</v>
      </c>
      <c r="I214">
        <v>331322</v>
      </c>
      <c r="J214">
        <v>19935</v>
      </c>
      <c r="K214">
        <v>40622</v>
      </c>
      <c r="L214">
        <v>809</v>
      </c>
      <c r="M214">
        <v>786698</v>
      </c>
      <c r="N214">
        <v>382973</v>
      </c>
      <c r="O214">
        <v>521</v>
      </c>
      <c r="P214">
        <v>882779</v>
      </c>
      <c r="Q214">
        <v>29.92</v>
      </c>
      <c r="R214">
        <v>12095284</v>
      </c>
      <c r="S214">
        <v>15494703</v>
      </c>
      <c r="T214">
        <v>18146909</v>
      </c>
      <c r="U214">
        <v>60.22</v>
      </c>
      <c r="V214">
        <v>8.94</v>
      </c>
      <c r="W214">
        <v>2739</v>
      </c>
      <c r="X214">
        <v>1.71</v>
      </c>
      <c r="Y214">
        <v>88.95</v>
      </c>
    </row>
    <row r="215" spans="1:25" x14ac:dyDescent="0.3">
      <c r="A215" t="s">
        <v>25</v>
      </c>
      <c r="B215" t="s">
        <v>32</v>
      </c>
      <c r="C215" t="s">
        <v>37</v>
      </c>
      <c r="D215" s="1">
        <v>44410</v>
      </c>
      <c r="E215">
        <v>39016260</v>
      </c>
      <c r="F215">
        <v>16483</v>
      </c>
      <c r="G215">
        <v>23</v>
      </c>
      <c r="H215">
        <v>36333</v>
      </c>
      <c r="I215">
        <v>723496</v>
      </c>
      <c r="J215">
        <v>47258</v>
      </c>
      <c r="K215">
        <v>22505</v>
      </c>
      <c r="L215">
        <v>996</v>
      </c>
      <c r="M215">
        <v>298807</v>
      </c>
      <c r="N215">
        <v>59722</v>
      </c>
      <c r="O215">
        <v>6632</v>
      </c>
      <c r="P215">
        <v>1240308</v>
      </c>
      <c r="Q215">
        <v>15.74</v>
      </c>
      <c r="R215">
        <v>8477852</v>
      </c>
      <c r="S215">
        <v>34898393</v>
      </c>
      <c r="T215">
        <v>22596798</v>
      </c>
      <c r="U215">
        <v>45.39</v>
      </c>
      <c r="V215">
        <v>4.91</v>
      </c>
      <c r="W215">
        <v>580</v>
      </c>
      <c r="X215">
        <v>2.1800000000000002</v>
      </c>
      <c r="Y215">
        <v>69.040000000000006</v>
      </c>
    </row>
    <row r="216" spans="1:25" x14ac:dyDescent="0.3">
      <c r="A216" t="s">
        <v>26</v>
      </c>
      <c r="B216" t="s">
        <v>35</v>
      </c>
      <c r="C216" t="s">
        <v>40</v>
      </c>
      <c r="D216" s="1">
        <v>44411</v>
      </c>
      <c r="E216">
        <v>14726224</v>
      </c>
      <c r="F216">
        <v>19994</v>
      </c>
      <c r="G216">
        <v>44.5</v>
      </c>
      <c r="H216">
        <v>4174</v>
      </c>
      <c r="I216">
        <v>192812</v>
      </c>
      <c r="J216">
        <v>22784</v>
      </c>
      <c r="K216">
        <v>13460</v>
      </c>
      <c r="L216">
        <v>1544</v>
      </c>
      <c r="M216">
        <v>165543</v>
      </c>
      <c r="N216">
        <v>316459</v>
      </c>
      <c r="O216">
        <v>6048</v>
      </c>
      <c r="P216">
        <v>1246175</v>
      </c>
      <c r="Q216">
        <v>16.32</v>
      </c>
      <c r="R216">
        <v>40602801</v>
      </c>
      <c r="S216">
        <v>39782988</v>
      </c>
      <c r="T216">
        <v>17196034</v>
      </c>
      <c r="U216">
        <v>40.79</v>
      </c>
      <c r="V216">
        <v>5.4</v>
      </c>
      <c r="W216">
        <v>1409</v>
      </c>
      <c r="X216">
        <v>2.76</v>
      </c>
      <c r="Y216">
        <v>14.54</v>
      </c>
    </row>
    <row r="217" spans="1:25" x14ac:dyDescent="0.3">
      <c r="A217" t="s">
        <v>31</v>
      </c>
      <c r="B217" t="s">
        <v>33</v>
      </c>
      <c r="C217" t="s">
        <v>39</v>
      </c>
      <c r="D217" s="1">
        <v>44412</v>
      </c>
      <c r="E217">
        <v>33534792</v>
      </c>
      <c r="F217">
        <v>16452</v>
      </c>
      <c r="G217">
        <v>19.3</v>
      </c>
      <c r="H217">
        <v>36398</v>
      </c>
      <c r="I217">
        <v>113255</v>
      </c>
      <c r="J217">
        <v>23027</v>
      </c>
      <c r="K217">
        <v>9501</v>
      </c>
      <c r="L217">
        <v>1816</v>
      </c>
      <c r="M217">
        <v>490487</v>
      </c>
      <c r="N217">
        <v>473462</v>
      </c>
      <c r="O217">
        <v>354</v>
      </c>
      <c r="P217">
        <v>195451</v>
      </c>
      <c r="Q217">
        <v>11.76</v>
      </c>
      <c r="R217">
        <v>8582676</v>
      </c>
      <c r="S217">
        <v>11892651</v>
      </c>
      <c r="T217">
        <v>9685933</v>
      </c>
      <c r="U217">
        <v>49.72</v>
      </c>
      <c r="V217">
        <v>3.66</v>
      </c>
      <c r="W217">
        <v>3868</v>
      </c>
      <c r="X217">
        <v>1.92</v>
      </c>
      <c r="Y217">
        <v>59.12</v>
      </c>
    </row>
    <row r="218" spans="1:25" x14ac:dyDescent="0.3">
      <c r="A218" t="s">
        <v>25</v>
      </c>
      <c r="B218" t="s">
        <v>33</v>
      </c>
      <c r="C218" t="s">
        <v>38</v>
      </c>
      <c r="D218" s="1">
        <v>44413</v>
      </c>
      <c r="E218">
        <v>25009968</v>
      </c>
      <c r="F218">
        <v>12303</v>
      </c>
      <c r="G218">
        <v>31.4</v>
      </c>
      <c r="H218">
        <v>36929</v>
      </c>
      <c r="I218">
        <v>611610</v>
      </c>
      <c r="J218">
        <v>31008</v>
      </c>
      <c r="K218">
        <v>9278</v>
      </c>
      <c r="L218">
        <v>472</v>
      </c>
      <c r="M218">
        <v>721009</v>
      </c>
      <c r="N218">
        <v>336217</v>
      </c>
      <c r="O218">
        <v>1482</v>
      </c>
      <c r="P218">
        <v>357686</v>
      </c>
      <c r="Q218">
        <v>9.3000000000000007</v>
      </c>
      <c r="R218">
        <v>24510575</v>
      </c>
      <c r="S218">
        <v>28981746</v>
      </c>
      <c r="T218">
        <v>2465254</v>
      </c>
      <c r="U218">
        <v>4.04</v>
      </c>
      <c r="V218">
        <v>3.13</v>
      </c>
      <c r="W218">
        <v>2077</v>
      </c>
      <c r="X218">
        <v>3.97</v>
      </c>
      <c r="Y218">
        <v>89.22</v>
      </c>
    </row>
    <row r="219" spans="1:25" x14ac:dyDescent="0.3">
      <c r="A219" t="s">
        <v>30</v>
      </c>
      <c r="B219" t="s">
        <v>33</v>
      </c>
      <c r="C219" t="s">
        <v>37</v>
      </c>
      <c r="D219" s="1">
        <v>44414</v>
      </c>
      <c r="E219">
        <v>19670135</v>
      </c>
      <c r="F219">
        <v>19040</v>
      </c>
      <c r="G219">
        <v>23.4</v>
      </c>
      <c r="H219">
        <v>5321</v>
      </c>
      <c r="I219">
        <v>831997</v>
      </c>
      <c r="J219">
        <v>46631</v>
      </c>
      <c r="K219">
        <v>27767</v>
      </c>
      <c r="L219">
        <v>992</v>
      </c>
      <c r="M219">
        <v>347374</v>
      </c>
      <c r="N219">
        <v>108754</v>
      </c>
      <c r="O219">
        <v>9839</v>
      </c>
      <c r="P219">
        <v>697631</v>
      </c>
      <c r="Q219">
        <v>7.55</v>
      </c>
      <c r="R219">
        <v>49922730</v>
      </c>
      <c r="S219">
        <v>5717209</v>
      </c>
      <c r="T219">
        <v>13942382</v>
      </c>
      <c r="U219">
        <v>89.28</v>
      </c>
      <c r="V219">
        <v>6.73</v>
      </c>
      <c r="W219">
        <v>2610</v>
      </c>
      <c r="X219">
        <v>0.28999999999999998</v>
      </c>
      <c r="Y219">
        <v>70</v>
      </c>
    </row>
    <row r="220" spans="1:25" x14ac:dyDescent="0.3">
      <c r="A220" t="s">
        <v>31</v>
      </c>
      <c r="B220" t="s">
        <v>33</v>
      </c>
      <c r="C220" t="s">
        <v>40</v>
      </c>
      <c r="D220" s="1">
        <v>44415</v>
      </c>
      <c r="E220">
        <v>2000948</v>
      </c>
      <c r="F220">
        <v>7896</v>
      </c>
      <c r="G220">
        <v>46.1</v>
      </c>
      <c r="H220">
        <v>56421</v>
      </c>
      <c r="I220">
        <v>938687</v>
      </c>
      <c r="J220">
        <v>1823</v>
      </c>
      <c r="K220">
        <v>41917</v>
      </c>
      <c r="L220">
        <v>1281</v>
      </c>
      <c r="M220">
        <v>282120</v>
      </c>
      <c r="N220">
        <v>405837</v>
      </c>
      <c r="O220">
        <v>6994</v>
      </c>
      <c r="P220">
        <v>1378332</v>
      </c>
      <c r="Q220">
        <v>10.3</v>
      </c>
      <c r="R220">
        <v>16686312</v>
      </c>
      <c r="S220">
        <v>1731126</v>
      </c>
      <c r="T220">
        <v>1034416</v>
      </c>
      <c r="U220">
        <v>99.83</v>
      </c>
      <c r="V220">
        <v>1.64</v>
      </c>
      <c r="W220">
        <v>2227</v>
      </c>
      <c r="X220">
        <v>2.2200000000000002</v>
      </c>
      <c r="Y220">
        <v>14.87</v>
      </c>
    </row>
    <row r="221" spans="1:25" x14ac:dyDescent="0.3">
      <c r="A221" t="s">
        <v>31</v>
      </c>
      <c r="B221" t="s">
        <v>32</v>
      </c>
      <c r="C221" t="s">
        <v>41</v>
      </c>
      <c r="D221" s="1">
        <v>44416</v>
      </c>
      <c r="E221">
        <v>6827090</v>
      </c>
      <c r="F221">
        <v>6482</v>
      </c>
      <c r="G221">
        <v>35.799999999999997</v>
      </c>
      <c r="H221">
        <v>24760</v>
      </c>
      <c r="I221">
        <v>509522</v>
      </c>
      <c r="J221">
        <v>6852</v>
      </c>
      <c r="K221">
        <v>6801</v>
      </c>
      <c r="L221">
        <v>274</v>
      </c>
      <c r="M221">
        <v>331224</v>
      </c>
      <c r="N221">
        <v>249209</v>
      </c>
      <c r="O221">
        <v>2215</v>
      </c>
      <c r="P221">
        <v>139307</v>
      </c>
      <c r="Q221">
        <v>13.8</v>
      </c>
      <c r="R221">
        <v>657739</v>
      </c>
      <c r="S221">
        <v>29077886</v>
      </c>
      <c r="T221">
        <v>14046464</v>
      </c>
      <c r="U221">
        <v>18.149999999999999</v>
      </c>
      <c r="V221">
        <v>8.85</v>
      </c>
      <c r="W221">
        <v>1587</v>
      </c>
      <c r="X221">
        <v>1.97</v>
      </c>
      <c r="Y221">
        <v>86.78</v>
      </c>
    </row>
    <row r="222" spans="1:25" x14ac:dyDescent="0.3">
      <c r="A222" t="s">
        <v>31</v>
      </c>
      <c r="B222" t="s">
        <v>36</v>
      </c>
      <c r="C222" t="s">
        <v>38</v>
      </c>
      <c r="D222" s="1">
        <v>44417</v>
      </c>
      <c r="E222">
        <v>21385050</v>
      </c>
      <c r="F222">
        <v>13502</v>
      </c>
      <c r="G222">
        <v>25.4</v>
      </c>
      <c r="H222">
        <v>12360</v>
      </c>
      <c r="I222">
        <v>2132</v>
      </c>
      <c r="J222">
        <v>13072</v>
      </c>
      <c r="K222">
        <v>39949</v>
      </c>
      <c r="L222">
        <v>1773</v>
      </c>
      <c r="M222">
        <v>252331</v>
      </c>
      <c r="N222">
        <v>286272</v>
      </c>
      <c r="O222">
        <v>4716</v>
      </c>
      <c r="P222">
        <v>1138333</v>
      </c>
      <c r="Q222">
        <v>5.76</v>
      </c>
      <c r="R222">
        <v>27767676</v>
      </c>
      <c r="S222">
        <v>12476500</v>
      </c>
      <c r="T222">
        <v>18156392</v>
      </c>
      <c r="U222">
        <v>12.04</v>
      </c>
      <c r="V222">
        <v>7.9</v>
      </c>
      <c r="W222">
        <v>1323</v>
      </c>
      <c r="X222">
        <v>3.27</v>
      </c>
      <c r="Y222">
        <v>30.15</v>
      </c>
    </row>
    <row r="223" spans="1:25" x14ac:dyDescent="0.3">
      <c r="A223" t="s">
        <v>28</v>
      </c>
      <c r="B223" t="s">
        <v>35</v>
      </c>
      <c r="C223" t="s">
        <v>37</v>
      </c>
      <c r="D223" s="1">
        <v>44418</v>
      </c>
      <c r="E223">
        <v>32334022</v>
      </c>
      <c r="F223">
        <v>13445</v>
      </c>
      <c r="G223">
        <v>34.1</v>
      </c>
      <c r="H223">
        <v>11313</v>
      </c>
      <c r="I223">
        <v>694619</v>
      </c>
      <c r="J223">
        <v>11133</v>
      </c>
      <c r="K223">
        <v>28324</v>
      </c>
      <c r="L223">
        <v>1043</v>
      </c>
      <c r="M223">
        <v>892508</v>
      </c>
      <c r="N223">
        <v>39428</v>
      </c>
      <c r="O223">
        <v>8619</v>
      </c>
      <c r="P223">
        <v>410633</v>
      </c>
      <c r="Q223">
        <v>6.75</v>
      </c>
      <c r="R223">
        <v>22893874</v>
      </c>
      <c r="S223">
        <v>12570325</v>
      </c>
      <c r="T223">
        <v>18636309</v>
      </c>
      <c r="U223">
        <v>14.36</v>
      </c>
      <c r="V223">
        <v>2.31</v>
      </c>
      <c r="W223">
        <v>2831</v>
      </c>
      <c r="X223">
        <v>4.83</v>
      </c>
      <c r="Y223">
        <v>45.41</v>
      </c>
    </row>
    <row r="224" spans="1:25" x14ac:dyDescent="0.3">
      <c r="A224" t="s">
        <v>30</v>
      </c>
      <c r="B224" t="s">
        <v>34</v>
      </c>
      <c r="C224" t="s">
        <v>39</v>
      </c>
      <c r="D224" s="1">
        <v>44419</v>
      </c>
      <c r="E224">
        <v>39891628</v>
      </c>
      <c r="F224">
        <v>3815</v>
      </c>
      <c r="G224">
        <v>41.4</v>
      </c>
      <c r="H224">
        <v>6801</v>
      </c>
      <c r="I224">
        <v>752972</v>
      </c>
      <c r="J224">
        <v>15111</v>
      </c>
      <c r="K224">
        <v>28593</v>
      </c>
      <c r="L224">
        <v>1513</v>
      </c>
      <c r="M224">
        <v>349237</v>
      </c>
      <c r="N224">
        <v>289545</v>
      </c>
      <c r="O224">
        <v>5821</v>
      </c>
      <c r="P224">
        <v>885507</v>
      </c>
      <c r="Q224">
        <v>8.15</v>
      </c>
      <c r="R224">
        <v>34250912</v>
      </c>
      <c r="S224">
        <v>13372018</v>
      </c>
      <c r="T224">
        <v>4127196</v>
      </c>
      <c r="U224">
        <v>66.099999999999994</v>
      </c>
      <c r="V224">
        <v>7.09</v>
      </c>
      <c r="W224">
        <v>996</v>
      </c>
      <c r="X224">
        <v>2.6</v>
      </c>
      <c r="Y224">
        <v>52.61</v>
      </c>
    </row>
    <row r="225" spans="1:25" x14ac:dyDescent="0.3">
      <c r="A225" t="s">
        <v>31</v>
      </c>
      <c r="B225" t="s">
        <v>36</v>
      </c>
      <c r="C225" t="s">
        <v>40</v>
      </c>
      <c r="D225" s="1">
        <v>44420</v>
      </c>
      <c r="E225">
        <v>15726559</v>
      </c>
      <c r="F225">
        <v>18872</v>
      </c>
      <c r="G225">
        <v>48.7</v>
      </c>
      <c r="H225">
        <v>15130</v>
      </c>
      <c r="I225">
        <v>851100</v>
      </c>
      <c r="J225">
        <v>32312</v>
      </c>
      <c r="K225">
        <v>21560</v>
      </c>
      <c r="L225">
        <v>1768</v>
      </c>
      <c r="M225">
        <v>724910</v>
      </c>
      <c r="N225">
        <v>300259</v>
      </c>
      <c r="O225">
        <v>2537</v>
      </c>
      <c r="P225">
        <v>297753</v>
      </c>
      <c r="Q225">
        <v>13.48</v>
      </c>
      <c r="R225">
        <v>9717137</v>
      </c>
      <c r="S225">
        <v>30780217</v>
      </c>
      <c r="T225">
        <v>10770829</v>
      </c>
      <c r="U225">
        <v>66.14</v>
      </c>
      <c r="V225">
        <v>6.23</v>
      </c>
      <c r="W225">
        <v>1348</v>
      </c>
      <c r="X225">
        <v>4.9400000000000004</v>
      </c>
      <c r="Y225">
        <v>85.05</v>
      </c>
    </row>
    <row r="226" spans="1:25" x14ac:dyDescent="0.3">
      <c r="A226" t="s">
        <v>26</v>
      </c>
      <c r="B226" t="s">
        <v>33</v>
      </c>
      <c r="C226" t="s">
        <v>37</v>
      </c>
      <c r="D226" s="1">
        <v>44421</v>
      </c>
      <c r="E226">
        <v>36757426</v>
      </c>
      <c r="F226">
        <v>16000</v>
      </c>
      <c r="G226">
        <v>25.1</v>
      </c>
      <c r="H226">
        <v>15271</v>
      </c>
      <c r="I226">
        <v>260427</v>
      </c>
      <c r="J226">
        <v>24161</v>
      </c>
      <c r="K226">
        <v>103</v>
      </c>
      <c r="L226">
        <v>489</v>
      </c>
      <c r="M226">
        <v>207098</v>
      </c>
      <c r="N226">
        <v>218448</v>
      </c>
      <c r="O226">
        <v>6339</v>
      </c>
      <c r="P226">
        <v>890217</v>
      </c>
      <c r="Q226">
        <v>19.579999999999998</v>
      </c>
      <c r="R226">
        <v>21941837</v>
      </c>
      <c r="S226">
        <v>8384640</v>
      </c>
      <c r="T226">
        <v>17569263</v>
      </c>
      <c r="U226">
        <v>84.79</v>
      </c>
      <c r="V226">
        <v>2.25</v>
      </c>
      <c r="W226">
        <v>2561</v>
      </c>
      <c r="X226">
        <v>1.58</v>
      </c>
      <c r="Y226">
        <v>93.16</v>
      </c>
    </row>
    <row r="227" spans="1:25" x14ac:dyDescent="0.3">
      <c r="A227" t="s">
        <v>27</v>
      </c>
      <c r="B227" t="s">
        <v>36</v>
      </c>
      <c r="C227" t="s">
        <v>39</v>
      </c>
      <c r="D227" s="1">
        <v>44422</v>
      </c>
      <c r="E227">
        <v>28370540</v>
      </c>
      <c r="F227">
        <v>12552</v>
      </c>
      <c r="G227">
        <v>46.4</v>
      </c>
      <c r="H227">
        <v>17075</v>
      </c>
      <c r="I227">
        <v>432779</v>
      </c>
      <c r="J227">
        <v>39287</v>
      </c>
      <c r="K227">
        <v>35765</v>
      </c>
      <c r="L227">
        <v>1756</v>
      </c>
      <c r="M227">
        <v>498212</v>
      </c>
      <c r="N227">
        <v>36945</v>
      </c>
      <c r="O227">
        <v>8736</v>
      </c>
      <c r="P227">
        <v>1303776</v>
      </c>
      <c r="Q227">
        <v>25.68</v>
      </c>
      <c r="R227">
        <v>23535893</v>
      </c>
      <c r="S227">
        <v>20051488</v>
      </c>
      <c r="T227">
        <v>12357851</v>
      </c>
      <c r="U227">
        <v>75.180000000000007</v>
      </c>
      <c r="V227">
        <v>3.1</v>
      </c>
      <c r="W227">
        <v>2238</v>
      </c>
      <c r="X227">
        <v>0.25</v>
      </c>
      <c r="Y227">
        <v>92.97</v>
      </c>
    </row>
    <row r="228" spans="1:25" x14ac:dyDescent="0.3">
      <c r="A228" t="s">
        <v>31</v>
      </c>
      <c r="B228" t="s">
        <v>35</v>
      </c>
      <c r="C228" t="s">
        <v>37</v>
      </c>
      <c r="D228" s="1">
        <v>44423</v>
      </c>
      <c r="E228">
        <v>32934302</v>
      </c>
      <c r="F228">
        <v>9791</v>
      </c>
      <c r="G228">
        <v>47.9</v>
      </c>
      <c r="H228">
        <v>19984</v>
      </c>
      <c r="I228">
        <v>486443</v>
      </c>
      <c r="J228">
        <v>1777</v>
      </c>
      <c r="K228">
        <v>45625</v>
      </c>
      <c r="L228">
        <v>325</v>
      </c>
      <c r="M228">
        <v>896003</v>
      </c>
      <c r="N228">
        <v>349062</v>
      </c>
      <c r="O228">
        <v>4919</v>
      </c>
      <c r="P228">
        <v>952406</v>
      </c>
      <c r="Q228">
        <v>8.61</v>
      </c>
      <c r="R228">
        <v>40773140</v>
      </c>
      <c r="S228">
        <v>35572854</v>
      </c>
      <c r="T228">
        <v>514004</v>
      </c>
      <c r="U228">
        <v>44.97</v>
      </c>
      <c r="V228">
        <v>4.3899999999999997</v>
      </c>
      <c r="W228">
        <v>931</v>
      </c>
      <c r="X228">
        <v>0.91</v>
      </c>
      <c r="Y228">
        <v>0.8</v>
      </c>
    </row>
    <row r="229" spans="1:25" x14ac:dyDescent="0.3">
      <c r="A229" t="s">
        <v>28</v>
      </c>
      <c r="B229" t="s">
        <v>34</v>
      </c>
      <c r="C229" t="s">
        <v>38</v>
      </c>
      <c r="D229" s="1">
        <v>44424</v>
      </c>
      <c r="E229">
        <v>39612237</v>
      </c>
      <c r="F229">
        <v>5991</v>
      </c>
      <c r="G229">
        <v>47.3</v>
      </c>
      <c r="H229">
        <v>61942</v>
      </c>
      <c r="I229">
        <v>634123</v>
      </c>
      <c r="J229">
        <v>24014</v>
      </c>
      <c r="K229">
        <v>9977</v>
      </c>
      <c r="L229">
        <v>528</v>
      </c>
      <c r="M229">
        <v>639620</v>
      </c>
      <c r="N229">
        <v>76494</v>
      </c>
      <c r="O229">
        <v>7075</v>
      </c>
      <c r="P229">
        <v>1597509</v>
      </c>
      <c r="Q229">
        <v>5.51</v>
      </c>
      <c r="R229">
        <v>49306496</v>
      </c>
      <c r="S229">
        <v>6120632</v>
      </c>
      <c r="T229">
        <v>24490156</v>
      </c>
      <c r="U229">
        <v>61.29</v>
      </c>
      <c r="V229">
        <v>7.14</v>
      </c>
      <c r="W229">
        <v>1897</v>
      </c>
      <c r="X229">
        <v>2.04</v>
      </c>
      <c r="Y229">
        <v>92.19</v>
      </c>
    </row>
    <row r="230" spans="1:25" x14ac:dyDescent="0.3">
      <c r="A230" t="s">
        <v>25</v>
      </c>
      <c r="B230" t="s">
        <v>34</v>
      </c>
      <c r="C230" t="s">
        <v>38</v>
      </c>
      <c r="D230" s="1">
        <v>44425</v>
      </c>
      <c r="E230">
        <v>38956876</v>
      </c>
      <c r="F230">
        <v>4905</v>
      </c>
      <c r="G230">
        <v>38.299999999999997</v>
      </c>
      <c r="H230">
        <v>13861</v>
      </c>
      <c r="I230">
        <v>143003</v>
      </c>
      <c r="J230">
        <v>14772</v>
      </c>
      <c r="K230">
        <v>16228</v>
      </c>
      <c r="L230">
        <v>891</v>
      </c>
      <c r="M230">
        <v>401223</v>
      </c>
      <c r="N230">
        <v>175331</v>
      </c>
      <c r="O230">
        <v>3765</v>
      </c>
      <c r="P230">
        <v>1505665</v>
      </c>
      <c r="Q230">
        <v>11.37</v>
      </c>
      <c r="R230">
        <v>40787306</v>
      </c>
      <c r="S230">
        <v>28004997</v>
      </c>
      <c r="T230">
        <v>5704415</v>
      </c>
      <c r="U230">
        <v>68.83</v>
      </c>
      <c r="V230">
        <v>6.57</v>
      </c>
      <c r="W230">
        <v>2025</v>
      </c>
      <c r="X230">
        <v>1.65</v>
      </c>
      <c r="Y230">
        <v>5.44</v>
      </c>
    </row>
    <row r="231" spans="1:25" x14ac:dyDescent="0.3">
      <c r="A231" t="s">
        <v>30</v>
      </c>
      <c r="B231" t="s">
        <v>35</v>
      </c>
      <c r="C231" t="s">
        <v>38</v>
      </c>
      <c r="D231" s="1">
        <v>44426</v>
      </c>
      <c r="E231">
        <v>17469728</v>
      </c>
      <c r="F231">
        <v>15216</v>
      </c>
      <c r="G231">
        <v>38.200000000000003</v>
      </c>
      <c r="H231">
        <v>62247</v>
      </c>
      <c r="I231">
        <v>783516</v>
      </c>
      <c r="J231">
        <v>46389</v>
      </c>
      <c r="K231">
        <v>43230</v>
      </c>
      <c r="L231">
        <v>88</v>
      </c>
      <c r="M231">
        <v>464109</v>
      </c>
      <c r="N231">
        <v>305958</v>
      </c>
      <c r="O231">
        <v>8850</v>
      </c>
      <c r="P231">
        <v>1769494</v>
      </c>
      <c r="Q231">
        <v>26.83</v>
      </c>
      <c r="R231">
        <v>48985459</v>
      </c>
      <c r="S231">
        <v>16145072</v>
      </c>
      <c r="T231">
        <v>23602565</v>
      </c>
      <c r="U231">
        <v>51.27</v>
      </c>
      <c r="V231">
        <v>5.56</v>
      </c>
      <c r="W231">
        <v>4318</v>
      </c>
      <c r="X231">
        <v>0.57999999999999996</v>
      </c>
      <c r="Y231">
        <v>26.58</v>
      </c>
    </row>
    <row r="232" spans="1:25" x14ac:dyDescent="0.3">
      <c r="A232" t="s">
        <v>28</v>
      </c>
      <c r="B232" t="s">
        <v>35</v>
      </c>
      <c r="C232" t="s">
        <v>40</v>
      </c>
      <c r="D232" s="1">
        <v>44427</v>
      </c>
      <c r="E232">
        <v>48218418</v>
      </c>
      <c r="F232">
        <v>19195</v>
      </c>
      <c r="G232">
        <v>30.9</v>
      </c>
      <c r="H232">
        <v>21977</v>
      </c>
      <c r="I232">
        <v>598457</v>
      </c>
      <c r="J232">
        <v>44627</v>
      </c>
      <c r="K232">
        <v>8637</v>
      </c>
      <c r="L232">
        <v>485</v>
      </c>
      <c r="M232">
        <v>667978</v>
      </c>
      <c r="N232">
        <v>80822</v>
      </c>
      <c r="O232">
        <v>7082</v>
      </c>
      <c r="P232">
        <v>325377</v>
      </c>
      <c r="Q232">
        <v>0.3</v>
      </c>
      <c r="R232">
        <v>18720635</v>
      </c>
      <c r="S232">
        <v>27724309</v>
      </c>
      <c r="T232">
        <v>19771893</v>
      </c>
      <c r="U232">
        <v>47.57</v>
      </c>
      <c r="V232">
        <v>7.8</v>
      </c>
      <c r="W232">
        <v>4618</v>
      </c>
      <c r="X232">
        <v>2.2200000000000002</v>
      </c>
      <c r="Y232">
        <v>51.5</v>
      </c>
    </row>
    <row r="233" spans="1:25" x14ac:dyDescent="0.3">
      <c r="A233" t="s">
        <v>31</v>
      </c>
      <c r="B233" t="s">
        <v>33</v>
      </c>
      <c r="C233" t="s">
        <v>38</v>
      </c>
      <c r="D233" s="1">
        <v>44428</v>
      </c>
      <c r="E233">
        <v>20991595</v>
      </c>
      <c r="F233">
        <v>5838</v>
      </c>
      <c r="G233">
        <v>42.1</v>
      </c>
      <c r="H233">
        <v>51617</v>
      </c>
      <c r="I233">
        <v>261529</v>
      </c>
      <c r="J233">
        <v>18161</v>
      </c>
      <c r="K233">
        <v>4957</v>
      </c>
      <c r="L233">
        <v>707</v>
      </c>
      <c r="M233">
        <v>182101</v>
      </c>
      <c r="N233">
        <v>493037</v>
      </c>
      <c r="O233">
        <v>2827</v>
      </c>
      <c r="P233">
        <v>1423163</v>
      </c>
      <c r="Q233">
        <v>20.34</v>
      </c>
      <c r="R233">
        <v>20103470</v>
      </c>
      <c r="S233">
        <v>35480067</v>
      </c>
      <c r="T233">
        <v>16796408</v>
      </c>
      <c r="U233">
        <v>64.510000000000005</v>
      </c>
      <c r="V233">
        <v>7.7</v>
      </c>
      <c r="W233">
        <v>3014</v>
      </c>
      <c r="X233">
        <v>1.76</v>
      </c>
      <c r="Y233">
        <v>47.99</v>
      </c>
    </row>
    <row r="234" spans="1:25" x14ac:dyDescent="0.3">
      <c r="A234" t="s">
        <v>30</v>
      </c>
      <c r="B234" t="s">
        <v>34</v>
      </c>
      <c r="C234" t="s">
        <v>39</v>
      </c>
      <c r="D234" s="1">
        <v>44429</v>
      </c>
      <c r="E234">
        <v>31675239</v>
      </c>
      <c r="F234">
        <v>251</v>
      </c>
      <c r="G234">
        <v>35</v>
      </c>
      <c r="H234">
        <v>58473</v>
      </c>
      <c r="I234">
        <v>444855</v>
      </c>
      <c r="J234">
        <v>42264</v>
      </c>
      <c r="K234">
        <v>39429</v>
      </c>
      <c r="L234">
        <v>349</v>
      </c>
      <c r="M234">
        <v>69182</v>
      </c>
      <c r="N234">
        <v>490046</v>
      </c>
      <c r="O234">
        <v>2058</v>
      </c>
      <c r="P234">
        <v>1204049</v>
      </c>
      <c r="Q234">
        <v>14.31</v>
      </c>
      <c r="R234">
        <v>49466069</v>
      </c>
      <c r="S234">
        <v>29783879</v>
      </c>
      <c r="T234">
        <v>23989507</v>
      </c>
      <c r="U234">
        <v>55.75</v>
      </c>
      <c r="V234">
        <v>6.37</v>
      </c>
      <c r="W234">
        <v>3113</v>
      </c>
      <c r="X234">
        <v>0.7</v>
      </c>
      <c r="Y234">
        <v>60.47</v>
      </c>
    </row>
    <row r="235" spans="1:25" x14ac:dyDescent="0.3">
      <c r="A235" t="s">
        <v>27</v>
      </c>
      <c r="B235" t="s">
        <v>36</v>
      </c>
      <c r="C235" t="s">
        <v>37</v>
      </c>
      <c r="D235" s="1">
        <v>44430</v>
      </c>
      <c r="E235">
        <v>6345447</v>
      </c>
      <c r="F235">
        <v>10611</v>
      </c>
      <c r="G235">
        <v>39.700000000000003</v>
      </c>
      <c r="H235">
        <v>16630</v>
      </c>
      <c r="I235">
        <v>254608</v>
      </c>
      <c r="J235">
        <v>7490</v>
      </c>
      <c r="K235">
        <v>23188</v>
      </c>
      <c r="L235">
        <v>1107</v>
      </c>
      <c r="M235">
        <v>223509</v>
      </c>
      <c r="N235">
        <v>287474</v>
      </c>
      <c r="O235">
        <v>7749</v>
      </c>
      <c r="P235">
        <v>795203</v>
      </c>
      <c r="Q235">
        <v>4.83</v>
      </c>
      <c r="R235">
        <v>35941549</v>
      </c>
      <c r="S235">
        <v>37837759</v>
      </c>
      <c r="T235">
        <v>18663554</v>
      </c>
      <c r="U235">
        <v>64.39</v>
      </c>
      <c r="V235">
        <v>7.98</v>
      </c>
      <c r="W235">
        <v>3178</v>
      </c>
      <c r="X235">
        <v>1.55</v>
      </c>
      <c r="Y235">
        <v>47.94</v>
      </c>
    </row>
    <row r="236" spans="1:25" x14ac:dyDescent="0.3">
      <c r="A236" t="s">
        <v>31</v>
      </c>
      <c r="B236" t="s">
        <v>32</v>
      </c>
      <c r="C236" t="s">
        <v>41</v>
      </c>
      <c r="D236" s="1">
        <v>44431</v>
      </c>
      <c r="E236">
        <v>47347988</v>
      </c>
      <c r="F236">
        <v>16951</v>
      </c>
      <c r="G236">
        <v>31.7</v>
      </c>
      <c r="H236">
        <v>21056</v>
      </c>
      <c r="I236">
        <v>759673</v>
      </c>
      <c r="J236">
        <v>41661</v>
      </c>
      <c r="K236">
        <v>28886</v>
      </c>
      <c r="L236">
        <v>386</v>
      </c>
      <c r="M236">
        <v>447892</v>
      </c>
      <c r="N236">
        <v>92654</v>
      </c>
      <c r="O236">
        <v>730</v>
      </c>
      <c r="P236">
        <v>1517243</v>
      </c>
      <c r="Q236">
        <v>9.6300000000000008</v>
      </c>
      <c r="R236">
        <v>49116725</v>
      </c>
      <c r="S236">
        <v>14887076</v>
      </c>
      <c r="T236">
        <v>18054256</v>
      </c>
      <c r="U236">
        <v>61.29</v>
      </c>
      <c r="V236">
        <v>3.68</v>
      </c>
      <c r="W236">
        <v>547</v>
      </c>
      <c r="X236">
        <v>4.4400000000000004</v>
      </c>
      <c r="Y236">
        <v>93.44</v>
      </c>
    </row>
    <row r="237" spans="1:25" x14ac:dyDescent="0.3">
      <c r="A237" t="s">
        <v>28</v>
      </c>
      <c r="B237" t="s">
        <v>32</v>
      </c>
      <c r="C237" t="s">
        <v>39</v>
      </c>
      <c r="D237" s="1">
        <v>44432</v>
      </c>
      <c r="E237">
        <v>35603852</v>
      </c>
      <c r="F237">
        <v>7787</v>
      </c>
      <c r="G237">
        <v>41.4</v>
      </c>
      <c r="H237">
        <v>8382</v>
      </c>
      <c r="I237">
        <v>715261</v>
      </c>
      <c r="J237">
        <v>24502</v>
      </c>
      <c r="K237">
        <v>22918</v>
      </c>
      <c r="L237">
        <v>86</v>
      </c>
      <c r="M237">
        <v>247053</v>
      </c>
      <c r="N237">
        <v>49362</v>
      </c>
      <c r="O237">
        <v>1832</v>
      </c>
      <c r="P237">
        <v>473650</v>
      </c>
      <c r="Q237">
        <v>6.75</v>
      </c>
      <c r="R237">
        <v>17797792</v>
      </c>
      <c r="S237">
        <v>23047070</v>
      </c>
      <c r="T237">
        <v>5554973</v>
      </c>
      <c r="U237">
        <v>71.92</v>
      </c>
      <c r="V237">
        <v>8.8699999999999992</v>
      </c>
      <c r="W237">
        <v>2266</v>
      </c>
      <c r="X237">
        <v>1.58</v>
      </c>
      <c r="Y237">
        <v>24.05</v>
      </c>
    </row>
    <row r="238" spans="1:25" x14ac:dyDescent="0.3">
      <c r="A238" t="s">
        <v>29</v>
      </c>
      <c r="B238" t="s">
        <v>35</v>
      </c>
      <c r="C238" t="s">
        <v>39</v>
      </c>
      <c r="D238" s="1">
        <v>44433</v>
      </c>
      <c r="E238">
        <v>12237532</v>
      </c>
      <c r="F238">
        <v>2038</v>
      </c>
      <c r="G238">
        <v>44.4</v>
      </c>
      <c r="H238">
        <v>56739</v>
      </c>
      <c r="I238">
        <v>625705</v>
      </c>
      <c r="J238">
        <v>35757</v>
      </c>
      <c r="K238">
        <v>35922</v>
      </c>
      <c r="L238">
        <v>306</v>
      </c>
      <c r="M238">
        <v>354357</v>
      </c>
      <c r="N238">
        <v>483517</v>
      </c>
      <c r="O238">
        <v>8600</v>
      </c>
      <c r="P238">
        <v>461665</v>
      </c>
      <c r="Q238">
        <v>26.33</v>
      </c>
      <c r="R238">
        <v>17462521</v>
      </c>
      <c r="S238">
        <v>9478700</v>
      </c>
      <c r="T238">
        <v>17400737</v>
      </c>
      <c r="U238">
        <v>64.28</v>
      </c>
      <c r="V238">
        <v>6.34</v>
      </c>
      <c r="W238">
        <v>1038</v>
      </c>
      <c r="X238">
        <v>3.6</v>
      </c>
      <c r="Y238">
        <v>27.4</v>
      </c>
    </row>
    <row r="239" spans="1:25" x14ac:dyDescent="0.3">
      <c r="A239" t="s">
        <v>26</v>
      </c>
      <c r="B239" t="s">
        <v>33</v>
      </c>
      <c r="C239" t="s">
        <v>38</v>
      </c>
      <c r="D239" s="1">
        <v>44434</v>
      </c>
      <c r="E239">
        <v>48991820</v>
      </c>
      <c r="F239">
        <v>15491</v>
      </c>
      <c r="G239">
        <v>22.7</v>
      </c>
      <c r="H239">
        <v>49639</v>
      </c>
      <c r="I239">
        <v>526332</v>
      </c>
      <c r="J239">
        <v>41111</v>
      </c>
      <c r="K239">
        <v>19981</v>
      </c>
      <c r="L239">
        <v>1873</v>
      </c>
      <c r="M239">
        <v>366704</v>
      </c>
      <c r="N239">
        <v>41822</v>
      </c>
      <c r="O239">
        <v>6505</v>
      </c>
      <c r="P239">
        <v>365745</v>
      </c>
      <c r="Q239">
        <v>14.46</v>
      </c>
      <c r="R239">
        <v>49169384</v>
      </c>
      <c r="S239">
        <v>32783577</v>
      </c>
      <c r="T239">
        <v>15780883</v>
      </c>
      <c r="U239">
        <v>51.97</v>
      </c>
      <c r="V239">
        <v>8.31</v>
      </c>
      <c r="W239">
        <v>2658</v>
      </c>
      <c r="X239">
        <v>3.1</v>
      </c>
      <c r="Y239">
        <v>92.07</v>
      </c>
    </row>
    <row r="240" spans="1:25" x14ac:dyDescent="0.3">
      <c r="A240" t="s">
        <v>25</v>
      </c>
      <c r="B240" t="s">
        <v>32</v>
      </c>
      <c r="C240" t="s">
        <v>40</v>
      </c>
      <c r="D240" s="1">
        <v>44435</v>
      </c>
      <c r="E240">
        <v>8812934</v>
      </c>
      <c r="F240">
        <v>11787</v>
      </c>
      <c r="G240">
        <v>44.7</v>
      </c>
      <c r="H240">
        <v>60838</v>
      </c>
      <c r="I240">
        <v>178763</v>
      </c>
      <c r="J240">
        <v>32737</v>
      </c>
      <c r="K240">
        <v>32594</v>
      </c>
      <c r="L240">
        <v>1177</v>
      </c>
      <c r="M240">
        <v>660274</v>
      </c>
      <c r="N240">
        <v>439675</v>
      </c>
      <c r="O240">
        <v>7170</v>
      </c>
      <c r="P240">
        <v>1535396</v>
      </c>
      <c r="Q240">
        <v>16.89</v>
      </c>
      <c r="R240">
        <v>11955962</v>
      </c>
      <c r="S240">
        <v>3104490</v>
      </c>
      <c r="T240">
        <v>11897046</v>
      </c>
      <c r="U240">
        <v>68.180000000000007</v>
      </c>
      <c r="V240">
        <v>5.69</v>
      </c>
      <c r="W240">
        <v>2525</v>
      </c>
      <c r="X240">
        <v>2.19</v>
      </c>
      <c r="Y240">
        <v>7.67</v>
      </c>
    </row>
    <row r="241" spans="1:25" x14ac:dyDescent="0.3">
      <c r="A241" t="s">
        <v>28</v>
      </c>
      <c r="B241" t="s">
        <v>34</v>
      </c>
      <c r="C241" t="s">
        <v>37</v>
      </c>
      <c r="D241" s="1">
        <v>44436</v>
      </c>
      <c r="E241">
        <v>4400379</v>
      </c>
      <c r="F241">
        <v>14306</v>
      </c>
      <c r="G241">
        <v>35.299999999999997</v>
      </c>
      <c r="H241">
        <v>47041</v>
      </c>
      <c r="I241">
        <v>232807</v>
      </c>
      <c r="J241">
        <v>17709</v>
      </c>
      <c r="K241">
        <v>49238</v>
      </c>
      <c r="L241">
        <v>439</v>
      </c>
      <c r="M241">
        <v>83530</v>
      </c>
      <c r="N241">
        <v>325040</v>
      </c>
      <c r="O241">
        <v>4179</v>
      </c>
      <c r="P241">
        <v>1444734</v>
      </c>
      <c r="Q241">
        <v>17.809999999999999</v>
      </c>
      <c r="R241">
        <v>30486438</v>
      </c>
      <c r="S241">
        <v>12838535</v>
      </c>
      <c r="T241">
        <v>26535162</v>
      </c>
      <c r="U241">
        <v>44.95</v>
      </c>
      <c r="V241">
        <v>2.58</v>
      </c>
      <c r="W241">
        <v>4564</v>
      </c>
      <c r="X241">
        <v>1.27</v>
      </c>
      <c r="Y241">
        <v>60.96</v>
      </c>
    </row>
    <row r="242" spans="1:25" x14ac:dyDescent="0.3">
      <c r="A242" t="s">
        <v>30</v>
      </c>
      <c r="B242" t="s">
        <v>35</v>
      </c>
      <c r="C242" t="s">
        <v>40</v>
      </c>
      <c r="D242" s="1">
        <v>44437</v>
      </c>
      <c r="E242">
        <v>37858841</v>
      </c>
      <c r="F242">
        <v>7212</v>
      </c>
      <c r="G242">
        <v>45</v>
      </c>
      <c r="H242">
        <v>1992</v>
      </c>
      <c r="I242">
        <v>25363</v>
      </c>
      <c r="J242">
        <v>44682</v>
      </c>
      <c r="K242">
        <v>8969</v>
      </c>
      <c r="L242">
        <v>739</v>
      </c>
      <c r="M242">
        <v>120860</v>
      </c>
      <c r="N242">
        <v>171331</v>
      </c>
      <c r="O242">
        <v>6299</v>
      </c>
      <c r="P242">
        <v>1725324</v>
      </c>
      <c r="Q242">
        <v>19.190000000000001</v>
      </c>
      <c r="R242">
        <v>46363306</v>
      </c>
      <c r="S242">
        <v>11025063</v>
      </c>
      <c r="T242">
        <v>29307367</v>
      </c>
      <c r="U242">
        <v>24.17</v>
      </c>
      <c r="V242">
        <v>5.65</v>
      </c>
      <c r="W242">
        <v>1420</v>
      </c>
      <c r="X242">
        <v>1.91</v>
      </c>
      <c r="Y242">
        <v>68.17</v>
      </c>
    </row>
    <row r="243" spans="1:25" x14ac:dyDescent="0.3">
      <c r="A243" t="s">
        <v>31</v>
      </c>
      <c r="B243" t="s">
        <v>36</v>
      </c>
      <c r="C243" t="s">
        <v>37</v>
      </c>
      <c r="D243" s="1">
        <v>44438</v>
      </c>
      <c r="E243">
        <v>11853540</v>
      </c>
      <c r="F243">
        <v>13115</v>
      </c>
      <c r="G243">
        <v>31.8</v>
      </c>
      <c r="H243">
        <v>68657</v>
      </c>
      <c r="I243">
        <v>309838</v>
      </c>
      <c r="J243">
        <v>8998</v>
      </c>
      <c r="K243">
        <v>28271</v>
      </c>
      <c r="L243">
        <v>1983</v>
      </c>
      <c r="M243">
        <v>872905</v>
      </c>
      <c r="N243">
        <v>240840</v>
      </c>
      <c r="O243">
        <v>7830</v>
      </c>
      <c r="P243">
        <v>912656</v>
      </c>
      <c r="Q243">
        <v>14.87</v>
      </c>
      <c r="R243">
        <v>15189686</v>
      </c>
      <c r="S243">
        <v>16105196</v>
      </c>
      <c r="T243">
        <v>29498749</v>
      </c>
      <c r="U243">
        <v>0.14000000000000001</v>
      </c>
      <c r="V243">
        <v>4.03</v>
      </c>
      <c r="W243">
        <v>3638</v>
      </c>
      <c r="X243">
        <v>3</v>
      </c>
      <c r="Y243">
        <v>50.55</v>
      </c>
    </row>
    <row r="244" spans="1:25" x14ac:dyDescent="0.3">
      <c r="A244" t="s">
        <v>26</v>
      </c>
      <c r="B244" t="s">
        <v>35</v>
      </c>
      <c r="C244" t="s">
        <v>37</v>
      </c>
      <c r="D244" s="1">
        <v>44439</v>
      </c>
      <c r="E244">
        <v>7222055</v>
      </c>
      <c r="F244">
        <v>14164</v>
      </c>
      <c r="G244">
        <v>30.1</v>
      </c>
      <c r="H244">
        <v>28160</v>
      </c>
      <c r="I244">
        <v>395798</v>
      </c>
      <c r="J244">
        <v>28906</v>
      </c>
      <c r="K244">
        <v>41075</v>
      </c>
      <c r="L244">
        <v>263</v>
      </c>
      <c r="M244">
        <v>659797</v>
      </c>
      <c r="N244">
        <v>87152</v>
      </c>
      <c r="O244">
        <v>4802</v>
      </c>
      <c r="P244">
        <v>608539</v>
      </c>
      <c r="Q244">
        <v>0.54</v>
      </c>
      <c r="R244">
        <v>19274753</v>
      </c>
      <c r="S244">
        <v>23422556</v>
      </c>
      <c r="T244">
        <v>904600</v>
      </c>
      <c r="U244">
        <v>56</v>
      </c>
      <c r="V244">
        <v>7.13</v>
      </c>
      <c r="W244">
        <v>2552</v>
      </c>
      <c r="X244">
        <v>1.82</v>
      </c>
      <c r="Y244">
        <v>69.42</v>
      </c>
    </row>
    <row r="245" spans="1:25" x14ac:dyDescent="0.3">
      <c r="A245" t="s">
        <v>31</v>
      </c>
      <c r="B245" t="s">
        <v>36</v>
      </c>
      <c r="C245" t="s">
        <v>40</v>
      </c>
      <c r="D245" s="1">
        <v>44440</v>
      </c>
      <c r="E245">
        <v>15556024</v>
      </c>
      <c r="F245">
        <v>8449</v>
      </c>
      <c r="G245">
        <v>47.3</v>
      </c>
      <c r="H245">
        <v>46156</v>
      </c>
      <c r="I245">
        <v>998414</v>
      </c>
      <c r="J245">
        <v>35490</v>
      </c>
      <c r="K245">
        <v>39472</v>
      </c>
      <c r="L245">
        <v>976</v>
      </c>
      <c r="M245">
        <v>823663</v>
      </c>
      <c r="N245">
        <v>100908</v>
      </c>
      <c r="O245">
        <v>6057</v>
      </c>
      <c r="P245">
        <v>582330</v>
      </c>
      <c r="Q245">
        <v>10.039999999999999</v>
      </c>
      <c r="R245">
        <v>39754945</v>
      </c>
      <c r="S245">
        <v>10189828</v>
      </c>
      <c r="T245">
        <v>27315470</v>
      </c>
      <c r="U245">
        <v>59.07</v>
      </c>
      <c r="V245">
        <v>5.0199999999999996</v>
      </c>
      <c r="W245">
        <v>4859</v>
      </c>
      <c r="X245">
        <v>1.1499999999999999</v>
      </c>
      <c r="Y245">
        <v>17.28</v>
      </c>
    </row>
    <row r="246" spans="1:25" x14ac:dyDescent="0.3">
      <c r="A246" t="s">
        <v>30</v>
      </c>
      <c r="B246" t="s">
        <v>35</v>
      </c>
      <c r="C246" t="s">
        <v>39</v>
      </c>
      <c r="D246" s="1">
        <v>44441</v>
      </c>
      <c r="E246">
        <v>49468538</v>
      </c>
      <c r="F246">
        <v>5683</v>
      </c>
      <c r="G246">
        <v>26</v>
      </c>
      <c r="H246">
        <v>52375</v>
      </c>
      <c r="I246">
        <v>985348</v>
      </c>
      <c r="J246">
        <v>4656</v>
      </c>
      <c r="K246">
        <v>15845</v>
      </c>
      <c r="L246">
        <v>734</v>
      </c>
      <c r="M246">
        <v>694525</v>
      </c>
      <c r="N246">
        <v>255516</v>
      </c>
      <c r="O246">
        <v>6615</v>
      </c>
      <c r="P246">
        <v>841172</v>
      </c>
      <c r="Q246">
        <v>5.52</v>
      </c>
      <c r="R246">
        <v>47545509</v>
      </c>
      <c r="S246">
        <v>28726004</v>
      </c>
      <c r="T246">
        <v>8083365</v>
      </c>
      <c r="U246">
        <v>97.2</v>
      </c>
      <c r="V246">
        <v>8.44</v>
      </c>
      <c r="W246">
        <v>228</v>
      </c>
      <c r="X246">
        <v>0.67</v>
      </c>
      <c r="Y246">
        <v>85.26</v>
      </c>
    </row>
    <row r="247" spans="1:25" x14ac:dyDescent="0.3">
      <c r="A247" t="s">
        <v>31</v>
      </c>
      <c r="B247" t="s">
        <v>35</v>
      </c>
      <c r="C247" t="s">
        <v>37</v>
      </c>
      <c r="D247" s="1">
        <v>44442</v>
      </c>
      <c r="E247">
        <v>9535949</v>
      </c>
      <c r="F247">
        <v>5805</v>
      </c>
      <c r="G247">
        <v>45</v>
      </c>
      <c r="H247">
        <v>20572</v>
      </c>
      <c r="I247">
        <v>808733</v>
      </c>
      <c r="J247">
        <v>36901</v>
      </c>
      <c r="K247">
        <v>19267</v>
      </c>
      <c r="L247">
        <v>420</v>
      </c>
      <c r="M247">
        <v>468226</v>
      </c>
      <c r="N247">
        <v>262228</v>
      </c>
      <c r="O247">
        <v>6762</v>
      </c>
      <c r="P247">
        <v>197945</v>
      </c>
      <c r="Q247">
        <v>20.399999999999999</v>
      </c>
      <c r="R247">
        <v>8916726</v>
      </c>
      <c r="S247">
        <v>25132903</v>
      </c>
      <c r="T247">
        <v>17063318</v>
      </c>
      <c r="U247">
        <v>36.15</v>
      </c>
      <c r="V247">
        <v>6.94</v>
      </c>
      <c r="W247">
        <v>1979</v>
      </c>
      <c r="X247">
        <v>4.41</v>
      </c>
      <c r="Y247">
        <v>14</v>
      </c>
    </row>
    <row r="248" spans="1:25" x14ac:dyDescent="0.3">
      <c r="A248" t="s">
        <v>29</v>
      </c>
      <c r="B248" t="s">
        <v>35</v>
      </c>
      <c r="C248" t="s">
        <v>40</v>
      </c>
      <c r="D248" s="1">
        <v>44443</v>
      </c>
      <c r="E248">
        <v>18798198</v>
      </c>
      <c r="F248">
        <v>10875</v>
      </c>
      <c r="G248">
        <v>33.5</v>
      </c>
      <c r="H248">
        <v>5136</v>
      </c>
      <c r="I248">
        <v>337473</v>
      </c>
      <c r="J248">
        <v>25735</v>
      </c>
      <c r="K248">
        <v>3356</v>
      </c>
      <c r="L248">
        <v>492</v>
      </c>
      <c r="M248">
        <v>506397</v>
      </c>
      <c r="N248">
        <v>221381</v>
      </c>
      <c r="O248">
        <v>5543</v>
      </c>
      <c r="P248">
        <v>1620888</v>
      </c>
      <c r="Q248">
        <v>1.7</v>
      </c>
      <c r="R248">
        <v>28236786</v>
      </c>
      <c r="S248">
        <v>10480470</v>
      </c>
      <c r="T248">
        <v>5743809</v>
      </c>
      <c r="U248">
        <v>39.409999999999997</v>
      </c>
      <c r="V248">
        <v>7</v>
      </c>
      <c r="W248">
        <v>2598</v>
      </c>
      <c r="X248">
        <v>2.2599999999999998</v>
      </c>
      <c r="Y248">
        <v>40.08</v>
      </c>
    </row>
    <row r="249" spans="1:25" x14ac:dyDescent="0.3">
      <c r="A249" t="s">
        <v>26</v>
      </c>
      <c r="B249" t="s">
        <v>36</v>
      </c>
      <c r="C249" t="s">
        <v>37</v>
      </c>
      <c r="D249" s="1">
        <v>44444</v>
      </c>
      <c r="E249">
        <v>33172748</v>
      </c>
      <c r="F249">
        <v>4167</v>
      </c>
      <c r="G249">
        <v>34.5</v>
      </c>
      <c r="H249">
        <v>62868</v>
      </c>
      <c r="I249">
        <v>2620</v>
      </c>
      <c r="J249">
        <v>29092</v>
      </c>
      <c r="K249">
        <v>30817</v>
      </c>
      <c r="L249">
        <v>632</v>
      </c>
      <c r="M249">
        <v>114860</v>
      </c>
      <c r="N249">
        <v>398555</v>
      </c>
      <c r="O249">
        <v>8325</v>
      </c>
      <c r="P249">
        <v>1728386</v>
      </c>
      <c r="Q249">
        <v>16.91</v>
      </c>
      <c r="R249">
        <v>27087772</v>
      </c>
      <c r="S249">
        <v>32635372</v>
      </c>
      <c r="T249">
        <v>26322360</v>
      </c>
      <c r="U249">
        <v>20.18</v>
      </c>
      <c r="V249">
        <v>2.56</v>
      </c>
      <c r="W249">
        <v>4884</v>
      </c>
      <c r="X249">
        <v>3.16</v>
      </c>
      <c r="Y249">
        <v>7.53</v>
      </c>
    </row>
    <row r="250" spans="1:25" x14ac:dyDescent="0.3">
      <c r="A250" t="s">
        <v>26</v>
      </c>
      <c r="B250" t="s">
        <v>36</v>
      </c>
      <c r="C250" t="s">
        <v>41</v>
      </c>
      <c r="D250" s="1">
        <v>44445</v>
      </c>
      <c r="E250">
        <v>6781646</v>
      </c>
      <c r="F250">
        <v>1568</v>
      </c>
      <c r="G250">
        <v>27.9</v>
      </c>
      <c r="H250">
        <v>33167</v>
      </c>
      <c r="I250">
        <v>325368</v>
      </c>
      <c r="J250">
        <v>1242</v>
      </c>
      <c r="K250">
        <v>30428</v>
      </c>
      <c r="L250">
        <v>992</v>
      </c>
      <c r="M250">
        <v>264394</v>
      </c>
      <c r="N250">
        <v>246152</v>
      </c>
      <c r="O250">
        <v>4883</v>
      </c>
      <c r="P250">
        <v>1630829</v>
      </c>
      <c r="Q250">
        <v>6.32</v>
      </c>
      <c r="R250">
        <v>24313587</v>
      </c>
      <c r="S250">
        <v>13804929</v>
      </c>
      <c r="T250">
        <v>4157752</v>
      </c>
      <c r="U250">
        <v>7.05</v>
      </c>
      <c r="V250">
        <v>9.85</v>
      </c>
      <c r="W250">
        <v>161</v>
      </c>
      <c r="X250">
        <v>2.5</v>
      </c>
      <c r="Y250">
        <v>54.52</v>
      </c>
    </row>
    <row r="251" spans="1:25" x14ac:dyDescent="0.3">
      <c r="A251" t="s">
        <v>30</v>
      </c>
      <c r="B251" t="s">
        <v>35</v>
      </c>
      <c r="C251" t="s">
        <v>39</v>
      </c>
      <c r="D251" s="1">
        <v>44446</v>
      </c>
      <c r="E251">
        <v>40480720</v>
      </c>
      <c r="F251">
        <v>16396</v>
      </c>
      <c r="G251">
        <v>36.299999999999997</v>
      </c>
      <c r="H251">
        <v>16479</v>
      </c>
      <c r="I251">
        <v>450871</v>
      </c>
      <c r="J251">
        <v>41307</v>
      </c>
      <c r="K251">
        <v>11350</v>
      </c>
      <c r="L251">
        <v>410</v>
      </c>
      <c r="M251">
        <v>589806</v>
      </c>
      <c r="N251">
        <v>354195</v>
      </c>
      <c r="O251">
        <v>7050</v>
      </c>
      <c r="P251">
        <v>273201</v>
      </c>
      <c r="Q251">
        <v>28.47</v>
      </c>
      <c r="R251">
        <v>9596013</v>
      </c>
      <c r="S251">
        <v>14290494</v>
      </c>
      <c r="T251">
        <v>13733966</v>
      </c>
      <c r="U251">
        <v>77.28</v>
      </c>
      <c r="V251">
        <v>8.5</v>
      </c>
      <c r="W251">
        <v>3269</v>
      </c>
      <c r="X251">
        <v>4.38</v>
      </c>
      <c r="Y251">
        <v>66.97</v>
      </c>
    </row>
    <row r="252" spans="1:25" x14ac:dyDescent="0.3">
      <c r="A252" t="s">
        <v>25</v>
      </c>
      <c r="B252" t="s">
        <v>32</v>
      </c>
      <c r="C252" t="s">
        <v>38</v>
      </c>
      <c r="D252" s="1">
        <v>44447</v>
      </c>
      <c r="E252">
        <v>43644878</v>
      </c>
      <c r="F252">
        <v>2650</v>
      </c>
      <c r="G252">
        <v>28.4</v>
      </c>
      <c r="H252">
        <v>32376</v>
      </c>
      <c r="I252">
        <v>96419</v>
      </c>
      <c r="J252">
        <v>1831</v>
      </c>
      <c r="K252">
        <v>33022</v>
      </c>
      <c r="L252">
        <v>172</v>
      </c>
      <c r="M252">
        <v>397743</v>
      </c>
      <c r="N252">
        <v>313130</v>
      </c>
      <c r="O252">
        <v>4959</v>
      </c>
      <c r="P252">
        <v>749609</v>
      </c>
      <c r="Q252">
        <v>10.07</v>
      </c>
      <c r="R252">
        <v>11598203</v>
      </c>
      <c r="S252">
        <v>34690015</v>
      </c>
      <c r="T252">
        <v>25688243</v>
      </c>
      <c r="U252">
        <v>24.97</v>
      </c>
      <c r="V252">
        <v>8</v>
      </c>
      <c r="W252">
        <v>764</v>
      </c>
      <c r="X252">
        <v>2.78</v>
      </c>
      <c r="Y252">
        <v>94.12</v>
      </c>
    </row>
    <row r="253" spans="1:25" x14ac:dyDescent="0.3">
      <c r="A253" t="s">
        <v>29</v>
      </c>
      <c r="B253" t="s">
        <v>33</v>
      </c>
      <c r="C253" t="s">
        <v>37</v>
      </c>
      <c r="D253" s="1">
        <v>44448</v>
      </c>
      <c r="E253">
        <v>29251505</v>
      </c>
      <c r="F253">
        <v>13287</v>
      </c>
      <c r="G253">
        <v>19.3</v>
      </c>
      <c r="H253">
        <v>5823</v>
      </c>
      <c r="I253">
        <v>693894</v>
      </c>
      <c r="J253">
        <v>28511</v>
      </c>
      <c r="K253">
        <v>35403</v>
      </c>
      <c r="L253">
        <v>3</v>
      </c>
      <c r="M253">
        <v>765692</v>
      </c>
      <c r="N253">
        <v>365668</v>
      </c>
      <c r="O253">
        <v>666</v>
      </c>
      <c r="P253">
        <v>796415</v>
      </c>
      <c r="Q253">
        <v>9.76</v>
      </c>
      <c r="R253">
        <v>13536066</v>
      </c>
      <c r="S253">
        <v>32258590</v>
      </c>
      <c r="T253">
        <v>5233643</v>
      </c>
      <c r="U253">
        <v>60.89</v>
      </c>
      <c r="V253">
        <v>3.64</v>
      </c>
      <c r="W253">
        <v>1451</v>
      </c>
      <c r="X253">
        <v>2.46</v>
      </c>
      <c r="Y253">
        <v>73.930000000000007</v>
      </c>
    </row>
    <row r="254" spans="1:25" x14ac:dyDescent="0.3">
      <c r="A254" t="s">
        <v>28</v>
      </c>
      <c r="B254" t="s">
        <v>33</v>
      </c>
      <c r="C254" t="s">
        <v>41</v>
      </c>
      <c r="D254" s="1">
        <v>44449</v>
      </c>
      <c r="E254">
        <v>22458593</v>
      </c>
      <c r="F254">
        <v>18629</v>
      </c>
      <c r="G254">
        <v>26.7</v>
      </c>
      <c r="H254">
        <v>20585</v>
      </c>
      <c r="I254">
        <v>907482</v>
      </c>
      <c r="J254">
        <v>7246</v>
      </c>
      <c r="K254">
        <v>36627</v>
      </c>
      <c r="L254">
        <v>853</v>
      </c>
      <c r="M254">
        <v>137317</v>
      </c>
      <c r="N254">
        <v>420511</v>
      </c>
      <c r="O254">
        <v>276</v>
      </c>
      <c r="P254">
        <v>393613</v>
      </c>
      <c r="Q254">
        <v>27.7</v>
      </c>
      <c r="R254">
        <v>2786278</v>
      </c>
      <c r="S254">
        <v>38664093</v>
      </c>
      <c r="T254">
        <v>21402274</v>
      </c>
      <c r="U254">
        <v>68.78</v>
      </c>
      <c r="V254">
        <v>5.59</v>
      </c>
      <c r="W254">
        <v>2974</v>
      </c>
      <c r="X254">
        <v>4.63</v>
      </c>
      <c r="Y254">
        <v>54.11</v>
      </c>
    </row>
    <row r="255" spans="1:25" x14ac:dyDescent="0.3">
      <c r="A255" t="s">
        <v>31</v>
      </c>
      <c r="B255" t="s">
        <v>33</v>
      </c>
      <c r="C255" t="s">
        <v>38</v>
      </c>
      <c r="D255" s="1">
        <v>44450</v>
      </c>
      <c r="E255">
        <v>39335523</v>
      </c>
      <c r="F255">
        <v>3604</v>
      </c>
      <c r="G255">
        <v>18.2</v>
      </c>
      <c r="H255">
        <v>18272</v>
      </c>
      <c r="I255">
        <v>497712</v>
      </c>
      <c r="J255">
        <v>31467</v>
      </c>
      <c r="K255">
        <v>9607</v>
      </c>
      <c r="L255">
        <v>1663</v>
      </c>
      <c r="M255">
        <v>193303</v>
      </c>
      <c r="N255">
        <v>104797</v>
      </c>
      <c r="O255">
        <v>881</v>
      </c>
      <c r="P255">
        <v>545283</v>
      </c>
      <c r="Q255">
        <v>12.52</v>
      </c>
      <c r="R255">
        <v>30359110</v>
      </c>
      <c r="S255">
        <v>31021570</v>
      </c>
      <c r="T255">
        <v>10491593</v>
      </c>
      <c r="U255">
        <v>47.12</v>
      </c>
      <c r="V255">
        <v>1.8</v>
      </c>
      <c r="W255">
        <v>1431</v>
      </c>
      <c r="X255">
        <v>3.63</v>
      </c>
      <c r="Y255">
        <v>93.26</v>
      </c>
    </row>
    <row r="256" spans="1:25" x14ac:dyDescent="0.3">
      <c r="A256" t="s">
        <v>27</v>
      </c>
      <c r="B256" t="s">
        <v>36</v>
      </c>
      <c r="C256" t="s">
        <v>38</v>
      </c>
      <c r="D256" s="1">
        <v>44451</v>
      </c>
      <c r="E256">
        <v>38462717</v>
      </c>
      <c r="F256">
        <v>16243</v>
      </c>
      <c r="G256">
        <v>49.3</v>
      </c>
      <c r="H256">
        <v>27619</v>
      </c>
      <c r="I256">
        <v>957894</v>
      </c>
      <c r="J256">
        <v>18302</v>
      </c>
      <c r="K256">
        <v>25567</v>
      </c>
      <c r="L256">
        <v>985</v>
      </c>
      <c r="M256">
        <v>611772</v>
      </c>
      <c r="N256">
        <v>488175</v>
      </c>
      <c r="O256">
        <v>2060</v>
      </c>
      <c r="P256">
        <v>115587</v>
      </c>
      <c r="Q256">
        <v>28.89</v>
      </c>
      <c r="R256">
        <v>1867427</v>
      </c>
      <c r="S256">
        <v>25184050</v>
      </c>
      <c r="T256">
        <v>17817613</v>
      </c>
      <c r="U256">
        <v>87.64</v>
      </c>
      <c r="V256">
        <v>5.62</v>
      </c>
      <c r="W256">
        <v>3177</v>
      </c>
      <c r="X256">
        <v>0.65</v>
      </c>
      <c r="Y256">
        <v>47.84</v>
      </c>
    </row>
    <row r="257" spans="1:25" x14ac:dyDescent="0.3">
      <c r="A257" t="s">
        <v>31</v>
      </c>
      <c r="B257" t="s">
        <v>36</v>
      </c>
      <c r="C257" t="s">
        <v>37</v>
      </c>
      <c r="D257" s="1">
        <v>44452</v>
      </c>
      <c r="E257">
        <v>15445952</v>
      </c>
      <c r="F257">
        <v>19283</v>
      </c>
      <c r="G257">
        <v>48.9</v>
      </c>
      <c r="H257">
        <v>40895</v>
      </c>
      <c r="I257">
        <v>727989</v>
      </c>
      <c r="J257">
        <v>3232</v>
      </c>
      <c r="K257">
        <v>7747</v>
      </c>
      <c r="L257">
        <v>1495</v>
      </c>
      <c r="M257">
        <v>894915</v>
      </c>
      <c r="N257">
        <v>231672</v>
      </c>
      <c r="O257">
        <v>2082</v>
      </c>
      <c r="P257">
        <v>1282652</v>
      </c>
      <c r="Q257">
        <v>0.73</v>
      </c>
      <c r="R257">
        <v>13386012</v>
      </c>
      <c r="S257">
        <v>11034167</v>
      </c>
      <c r="T257">
        <v>11950938</v>
      </c>
      <c r="U257">
        <v>44.38</v>
      </c>
      <c r="V257">
        <v>1.89</v>
      </c>
      <c r="W257">
        <v>4958</v>
      </c>
      <c r="X257">
        <v>0.97</v>
      </c>
      <c r="Y257">
        <v>56.12</v>
      </c>
    </row>
    <row r="258" spans="1:25" x14ac:dyDescent="0.3">
      <c r="A258" t="s">
        <v>31</v>
      </c>
      <c r="B258" t="s">
        <v>32</v>
      </c>
      <c r="C258" t="s">
        <v>40</v>
      </c>
      <c r="D258" s="1">
        <v>44453</v>
      </c>
      <c r="E258">
        <v>13863838</v>
      </c>
      <c r="F258">
        <v>15303</v>
      </c>
      <c r="G258">
        <v>30.6</v>
      </c>
      <c r="H258">
        <v>4720</v>
      </c>
      <c r="I258">
        <v>843288</v>
      </c>
      <c r="J258">
        <v>36526</v>
      </c>
      <c r="K258">
        <v>46802</v>
      </c>
      <c r="L258">
        <v>1133</v>
      </c>
      <c r="M258">
        <v>815383</v>
      </c>
      <c r="N258">
        <v>232942</v>
      </c>
      <c r="O258">
        <v>6702</v>
      </c>
      <c r="P258">
        <v>747988</v>
      </c>
      <c r="Q258">
        <v>9.19</v>
      </c>
      <c r="R258">
        <v>26623862</v>
      </c>
      <c r="S258">
        <v>31514633</v>
      </c>
      <c r="T258">
        <v>18073845</v>
      </c>
      <c r="U258">
        <v>28.49</v>
      </c>
      <c r="V258">
        <v>5.75</v>
      </c>
      <c r="W258">
        <v>3061</v>
      </c>
      <c r="X258">
        <v>3.96</v>
      </c>
      <c r="Y258">
        <v>59.61</v>
      </c>
    </row>
    <row r="259" spans="1:25" x14ac:dyDescent="0.3">
      <c r="A259" t="s">
        <v>28</v>
      </c>
      <c r="B259" t="s">
        <v>33</v>
      </c>
      <c r="C259" t="s">
        <v>37</v>
      </c>
      <c r="D259" s="1">
        <v>44454</v>
      </c>
      <c r="E259">
        <v>28050115</v>
      </c>
      <c r="F259">
        <v>16244</v>
      </c>
      <c r="G259">
        <v>41.3</v>
      </c>
      <c r="H259">
        <v>20267</v>
      </c>
      <c r="I259">
        <v>181324</v>
      </c>
      <c r="J259">
        <v>38765</v>
      </c>
      <c r="K259">
        <v>44778</v>
      </c>
      <c r="L259">
        <v>1890</v>
      </c>
      <c r="M259">
        <v>356387</v>
      </c>
      <c r="N259">
        <v>96399</v>
      </c>
      <c r="O259">
        <v>9429</v>
      </c>
      <c r="P259">
        <v>471897</v>
      </c>
      <c r="Q259">
        <v>19.989999999999998</v>
      </c>
      <c r="R259">
        <v>46450800</v>
      </c>
      <c r="S259">
        <v>23066172</v>
      </c>
      <c r="T259">
        <v>19892221</v>
      </c>
      <c r="U259">
        <v>89.6</v>
      </c>
      <c r="V259">
        <v>6.66</v>
      </c>
      <c r="W259">
        <v>1258</v>
      </c>
      <c r="X259">
        <v>4.2</v>
      </c>
      <c r="Y259">
        <v>41</v>
      </c>
    </row>
    <row r="260" spans="1:25" x14ac:dyDescent="0.3">
      <c r="A260" t="s">
        <v>31</v>
      </c>
      <c r="B260" t="s">
        <v>33</v>
      </c>
      <c r="C260" t="s">
        <v>41</v>
      </c>
      <c r="D260" s="1">
        <v>44455</v>
      </c>
      <c r="E260">
        <v>42066801</v>
      </c>
      <c r="F260">
        <v>1792</v>
      </c>
      <c r="G260">
        <v>29.1</v>
      </c>
      <c r="H260">
        <v>16696</v>
      </c>
      <c r="I260">
        <v>318953</v>
      </c>
      <c r="J260">
        <v>10972</v>
      </c>
      <c r="K260">
        <v>41111</v>
      </c>
      <c r="L260">
        <v>1060</v>
      </c>
      <c r="M260">
        <v>858406</v>
      </c>
      <c r="N260">
        <v>165846</v>
      </c>
      <c r="O260">
        <v>158</v>
      </c>
      <c r="P260">
        <v>1088462</v>
      </c>
      <c r="Q260">
        <v>26.73</v>
      </c>
      <c r="R260">
        <v>24036822</v>
      </c>
      <c r="S260">
        <v>11780077</v>
      </c>
      <c r="T260">
        <v>9536525</v>
      </c>
      <c r="U260">
        <v>86.16</v>
      </c>
      <c r="V260">
        <v>4.21</v>
      </c>
      <c r="W260">
        <v>3175</v>
      </c>
      <c r="X260">
        <v>2.77</v>
      </c>
      <c r="Y260">
        <v>83.85</v>
      </c>
    </row>
    <row r="261" spans="1:25" x14ac:dyDescent="0.3">
      <c r="A261" t="s">
        <v>29</v>
      </c>
      <c r="B261" t="s">
        <v>35</v>
      </c>
      <c r="C261" t="s">
        <v>38</v>
      </c>
      <c r="D261" s="1">
        <v>44456</v>
      </c>
      <c r="E261">
        <v>11544590</v>
      </c>
      <c r="F261">
        <v>1356</v>
      </c>
      <c r="G261">
        <v>39.5</v>
      </c>
      <c r="H261">
        <v>30968</v>
      </c>
      <c r="I261">
        <v>547547</v>
      </c>
      <c r="J261">
        <v>48136</v>
      </c>
      <c r="K261">
        <v>17286</v>
      </c>
      <c r="L261">
        <v>582</v>
      </c>
      <c r="M261">
        <v>717396</v>
      </c>
      <c r="N261">
        <v>149277</v>
      </c>
      <c r="O261">
        <v>5229</v>
      </c>
      <c r="P261">
        <v>1400745</v>
      </c>
      <c r="Q261">
        <v>7.69</v>
      </c>
      <c r="R261">
        <v>9678636</v>
      </c>
      <c r="S261">
        <v>29059633</v>
      </c>
      <c r="T261">
        <v>3872866</v>
      </c>
      <c r="U261">
        <v>16.399999999999999</v>
      </c>
      <c r="V261">
        <v>5.24</v>
      </c>
      <c r="W261">
        <v>86</v>
      </c>
      <c r="X261">
        <v>2.82</v>
      </c>
      <c r="Y261">
        <v>18.52</v>
      </c>
    </row>
    <row r="262" spans="1:25" x14ac:dyDescent="0.3">
      <c r="A262" t="s">
        <v>29</v>
      </c>
      <c r="B262" t="s">
        <v>36</v>
      </c>
      <c r="C262" t="s">
        <v>37</v>
      </c>
      <c r="D262" s="1">
        <v>44457</v>
      </c>
      <c r="E262">
        <v>12133575</v>
      </c>
      <c r="F262">
        <v>3899</v>
      </c>
      <c r="G262">
        <v>43.8</v>
      </c>
      <c r="H262">
        <v>54364</v>
      </c>
      <c r="I262">
        <v>21655</v>
      </c>
      <c r="J262">
        <v>34592</v>
      </c>
      <c r="K262">
        <v>7320</v>
      </c>
      <c r="L262">
        <v>1824</v>
      </c>
      <c r="M262">
        <v>12650</v>
      </c>
      <c r="N262">
        <v>160911</v>
      </c>
      <c r="O262">
        <v>7956</v>
      </c>
      <c r="P262">
        <v>490788</v>
      </c>
      <c r="Q262">
        <v>27.91</v>
      </c>
      <c r="R262">
        <v>31085071</v>
      </c>
      <c r="S262">
        <v>21356665</v>
      </c>
      <c r="T262">
        <v>27881504</v>
      </c>
      <c r="U262">
        <v>2.6</v>
      </c>
      <c r="V262">
        <v>8.82</v>
      </c>
      <c r="W262">
        <v>1878</v>
      </c>
      <c r="X262">
        <v>3.2</v>
      </c>
      <c r="Y262">
        <v>55.48</v>
      </c>
    </row>
    <row r="263" spans="1:25" x14ac:dyDescent="0.3">
      <c r="A263" t="s">
        <v>26</v>
      </c>
      <c r="B263" t="s">
        <v>33</v>
      </c>
      <c r="C263" t="s">
        <v>40</v>
      </c>
      <c r="D263" s="1">
        <v>44458</v>
      </c>
      <c r="E263">
        <v>5559667</v>
      </c>
      <c r="F263">
        <v>12410</v>
      </c>
      <c r="G263">
        <v>48.3</v>
      </c>
      <c r="H263">
        <v>24345</v>
      </c>
      <c r="I263">
        <v>951509</v>
      </c>
      <c r="J263">
        <v>10683</v>
      </c>
      <c r="K263">
        <v>35177</v>
      </c>
      <c r="L263">
        <v>1054</v>
      </c>
      <c r="M263">
        <v>800338</v>
      </c>
      <c r="N263">
        <v>163141</v>
      </c>
      <c r="O263">
        <v>7514</v>
      </c>
      <c r="P263">
        <v>96149</v>
      </c>
      <c r="Q263">
        <v>17.82</v>
      </c>
      <c r="R263">
        <v>30699550</v>
      </c>
      <c r="S263">
        <v>25761753</v>
      </c>
      <c r="T263">
        <v>2991539</v>
      </c>
      <c r="U263">
        <v>9</v>
      </c>
      <c r="V263">
        <v>1.53</v>
      </c>
      <c r="W263">
        <v>3110</v>
      </c>
      <c r="X263">
        <v>2.25</v>
      </c>
      <c r="Y263">
        <v>72.22</v>
      </c>
    </row>
    <row r="264" spans="1:25" x14ac:dyDescent="0.3">
      <c r="A264" t="s">
        <v>30</v>
      </c>
      <c r="B264" t="s">
        <v>32</v>
      </c>
      <c r="C264" t="s">
        <v>37</v>
      </c>
      <c r="D264" s="1">
        <v>44459</v>
      </c>
      <c r="E264">
        <v>42145168</v>
      </c>
      <c r="F264">
        <v>12818</v>
      </c>
      <c r="G264">
        <v>30.8</v>
      </c>
      <c r="H264">
        <v>52567</v>
      </c>
      <c r="I264">
        <v>950133</v>
      </c>
      <c r="J264">
        <v>23664</v>
      </c>
      <c r="K264">
        <v>37418</v>
      </c>
      <c r="L264">
        <v>1974</v>
      </c>
      <c r="M264">
        <v>151353</v>
      </c>
      <c r="N264">
        <v>14597</v>
      </c>
      <c r="O264">
        <v>7803</v>
      </c>
      <c r="P264">
        <v>619308</v>
      </c>
      <c r="Q264">
        <v>24.03</v>
      </c>
      <c r="R264">
        <v>29978785</v>
      </c>
      <c r="S264">
        <v>33606144</v>
      </c>
      <c r="T264">
        <v>22438144</v>
      </c>
      <c r="U264">
        <v>28.65</v>
      </c>
      <c r="V264">
        <v>8.02</v>
      </c>
      <c r="W264">
        <v>3391</v>
      </c>
      <c r="X264">
        <v>3.43</v>
      </c>
      <c r="Y264">
        <v>90.4</v>
      </c>
    </row>
    <row r="265" spans="1:25" x14ac:dyDescent="0.3">
      <c r="A265" t="s">
        <v>25</v>
      </c>
      <c r="B265" t="s">
        <v>32</v>
      </c>
      <c r="C265" t="s">
        <v>39</v>
      </c>
      <c r="D265" s="1">
        <v>44460</v>
      </c>
      <c r="E265">
        <v>37040128</v>
      </c>
      <c r="F265">
        <v>13082</v>
      </c>
      <c r="G265">
        <v>43.1</v>
      </c>
      <c r="H265">
        <v>62607</v>
      </c>
      <c r="I265">
        <v>942114</v>
      </c>
      <c r="J265">
        <v>36828</v>
      </c>
      <c r="K265">
        <v>19354</v>
      </c>
      <c r="L265">
        <v>380</v>
      </c>
      <c r="M265">
        <v>188989</v>
      </c>
      <c r="N265">
        <v>395132</v>
      </c>
      <c r="O265">
        <v>2526</v>
      </c>
      <c r="P265">
        <v>1576537</v>
      </c>
      <c r="Q265">
        <v>11.92</v>
      </c>
      <c r="R265">
        <v>40445745</v>
      </c>
      <c r="S265">
        <v>13028317</v>
      </c>
      <c r="T265">
        <v>11743265</v>
      </c>
      <c r="U265">
        <v>97.23</v>
      </c>
      <c r="V265">
        <v>2.12</v>
      </c>
      <c r="W265">
        <v>3991</v>
      </c>
      <c r="X265">
        <v>0.63</v>
      </c>
      <c r="Y265">
        <v>88.39</v>
      </c>
    </row>
    <row r="266" spans="1:25" x14ac:dyDescent="0.3">
      <c r="A266" t="s">
        <v>27</v>
      </c>
      <c r="B266" t="s">
        <v>33</v>
      </c>
      <c r="C266" t="s">
        <v>40</v>
      </c>
      <c r="D266" s="1">
        <v>44461</v>
      </c>
      <c r="E266">
        <v>9326233</v>
      </c>
      <c r="F266">
        <v>4245</v>
      </c>
      <c r="G266">
        <v>26.5</v>
      </c>
      <c r="H266">
        <v>20385</v>
      </c>
      <c r="I266">
        <v>451400</v>
      </c>
      <c r="J266">
        <v>33172</v>
      </c>
      <c r="K266">
        <v>10401</v>
      </c>
      <c r="L266">
        <v>1291</v>
      </c>
      <c r="M266">
        <v>890089</v>
      </c>
      <c r="N266">
        <v>254304</v>
      </c>
      <c r="O266">
        <v>8302</v>
      </c>
      <c r="P266">
        <v>953394</v>
      </c>
      <c r="Q266">
        <v>6.37</v>
      </c>
      <c r="R266">
        <v>33870528</v>
      </c>
      <c r="S266">
        <v>975288</v>
      </c>
      <c r="T266">
        <v>29530130</v>
      </c>
      <c r="U266">
        <v>55.85</v>
      </c>
      <c r="V266">
        <v>0.85</v>
      </c>
      <c r="W266">
        <v>859</v>
      </c>
      <c r="X266">
        <v>4.8099999999999996</v>
      </c>
      <c r="Y266">
        <v>50.87</v>
      </c>
    </row>
    <row r="267" spans="1:25" x14ac:dyDescent="0.3">
      <c r="A267" t="s">
        <v>31</v>
      </c>
      <c r="B267" t="s">
        <v>36</v>
      </c>
      <c r="C267" t="s">
        <v>41</v>
      </c>
      <c r="D267" s="1">
        <v>44462</v>
      </c>
      <c r="E267">
        <v>37355538</v>
      </c>
      <c r="F267">
        <v>18989</v>
      </c>
      <c r="G267">
        <v>49.7</v>
      </c>
      <c r="H267">
        <v>67900</v>
      </c>
      <c r="I267">
        <v>22602</v>
      </c>
      <c r="J267">
        <v>18105</v>
      </c>
      <c r="K267">
        <v>10902</v>
      </c>
      <c r="L267">
        <v>1034</v>
      </c>
      <c r="M267">
        <v>543113</v>
      </c>
      <c r="N267">
        <v>381159</v>
      </c>
      <c r="O267">
        <v>7803</v>
      </c>
      <c r="P267">
        <v>1913521</v>
      </c>
      <c r="Q267">
        <v>27.34</v>
      </c>
      <c r="R267">
        <v>36627153</v>
      </c>
      <c r="S267">
        <v>12188709</v>
      </c>
      <c r="T267">
        <v>23232151</v>
      </c>
      <c r="U267">
        <v>37.33</v>
      </c>
      <c r="V267">
        <v>2.2599999999999998</v>
      </c>
      <c r="W267">
        <v>3122</v>
      </c>
      <c r="X267">
        <v>3.78</v>
      </c>
      <c r="Y267">
        <v>64.319999999999993</v>
      </c>
    </row>
    <row r="268" spans="1:25" x14ac:dyDescent="0.3">
      <c r="A268" t="s">
        <v>31</v>
      </c>
      <c r="B268" t="s">
        <v>32</v>
      </c>
      <c r="C268" t="s">
        <v>38</v>
      </c>
      <c r="D268" s="1">
        <v>44463</v>
      </c>
      <c r="E268">
        <v>47836078</v>
      </c>
      <c r="F268">
        <v>18739</v>
      </c>
      <c r="G268">
        <v>18.8</v>
      </c>
      <c r="H268">
        <v>69244</v>
      </c>
      <c r="I268">
        <v>873377</v>
      </c>
      <c r="J268">
        <v>21700</v>
      </c>
      <c r="K268">
        <v>11207</v>
      </c>
      <c r="L268">
        <v>343</v>
      </c>
      <c r="M268">
        <v>200256</v>
      </c>
      <c r="N268">
        <v>257571</v>
      </c>
      <c r="O268">
        <v>6574</v>
      </c>
      <c r="P268">
        <v>24466</v>
      </c>
      <c r="Q268">
        <v>27.99</v>
      </c>
      <c r="R268">
        <v>27821433</v>
      </c>
      <c r="S268">
        <v>35816785</v>
      </c>
      <c r="T268">
        <v>11276265</v>
      </c>
      <c r="U268">
        <v>88.87</v>
      </c>
      <c r="V268">
        <v>7.77</v>
      </c>
      <c r="W268">
        <v>4168</v>
      </c>
      <c r="X268">
        <v>3.19</v>
      </c>
      <c r="Y268">
        <v>39.42</v>
      </c>
    </row>
    <row r="269" spans="1:25" x14ac:dyDescent="0.3">
      <c r="A269" t="s">
        <v>28</v>
      </c>
      <c r="B269" t="s">
        <v>35</v>
      </c>
      <c r="C269" t="s">
        <v>37</v>
      </c>
      <c r="D269" s="1">
        <v>44464</v>
      </c>
      <c r="E269">
        <v>18649286</v>
      </c>
      <c r="F269">
        <v>7669</v>
      </c>
      <c r="G269">
        <v>37.299999999999997</v>
      </c>
      <c r="H269">
        <v>66425</v>
      </c>
      <c r="I269">
        <v>667470</v>
      </c>
      <c r="J269">
        <v>11017</v>
      </c>
      <c r="K269">
        <v>13060</v>
      </c>
      <c r="L269">
        <v>1863</v>
      </c>
      <c r="M269">
        <v>881347</v>
      </c>
      <c r="N269">
        <v>92119</v>
      </c>
      <c r="O269">
        <v>8733</v>
      </c>
      <c r="P269">
        <v>238626</v>
      </c>
      <c r="Q269">
        <v>14.93</v>
      </c>
      <c r="R269">
        <v>36716989</v>
      </c>
      <c r="S269">
        <v>28073920</v>
      </c>
      <c r="T269">
        <v>1852675</v>
      </c>
      <c r="U269">
        <v>45.31</v>
      </c>
      <c r="V269">
        <v>4.3499999999999996</v>
      </c>
      <c r="W269">
        <v>1576</v>
      </c>
      <c r="X269">
        <v>1.65</v>
      </c>
      <c r="Y269">
        <v>46.82</v>
      </c>
    </row>
    <row r="270" spans="1:25" x14ac:dyDescent="0.3">
      <c r="A270" t="s">
        <v>30</v>
      </c>
      <c r="B270" t="s">
        <v>32</v>
      </c>
      <c r="C270" t="s">
        <v>40</v>
      </c>
      <c r="D270" s="1">
        <v>44465</v>
      </c>
      <c r="E270">
        <v>28096545</v>
      </c>
      <c r="F270">
        <v>9330</v>
      </c>
      <c r="G270">
        <v>39.1</v>
      </c>
      <c r="H270">
        <v>33919</v>
      </c>
      <c r="I270">
        <v>924577</v>
      </c>
      <c r="J270">
        <v>36613</v>
      </c>
      <c r="K270">
        <v>36152</v>
      </c>
      <c r="L270">
        <v>1567</v>
      </c>
      <c r="M270">
        <v>508263</v>
      </c>
      <c r="N270">
        <v>190426</v>
      </c>
      <c r="O270">
        <v>1138</v>
      </c>
      <c r="P270">
        <v>1928553</v>
      </c>
      <c r="Q270">
        <v>0.19</v>
      </c>
      <c r="R270">
        <v>5171943</v>
      </c>
      <c r="S270">
        <v>3772093</v>
      </c>
      <c r="T270">
        <v>23477923</v>
      </c>
      <c r="U270">
        <v>31.52</v>
      </c>
      <c r="V270">
        <v>8.7899999999999991</v>
      </c>
      <c r="W270">
        <v>3569</v>
      </c>
      <c r="X270">
        <v>0.89</v>
      </c>
      <c r="Y270">
        <v>90.63</v>
      </c>
    </row>
    <row r="271" spans="1:25" x14ac:dyDescent="0.3">
      <c r="A271" t="s">
        <v>29</v>
      </c>
      <c r="B271" t="s">
        <v>34</v>
      </c>
      <c r="C271" t="s">
        <v>39</v>
      </c>
      <c r="D271" s="1">
        <v>44466</v>
      </c>
      <c r="E271">
        <v>23998524</v>
      </c>
      <c r="F271">
        <v>2692</v>
      </c>
      <c r="G271">
        <v>40</v>
      </c>
      <c r="H271">
        <v>58196</v>
      </c>
      <c r="I271">
        <v>888278</v>
      </c>
      <c r="J271">
        <v>20594</v>
      </c>
      <c r="K271">
        <v>45689</v>
      </c>
      <c r="L271">
        <v>1592</v>
      </c>
      <c r="M271">
        <v>729329</v>
      </c>
      <c r="N271">
        <v>109117</v>
      </c>
      <c r="O271">
        <v>7257</v>
      </c>
      <c r="P271">
        <v>1559542</v>
      </c>
      <c r="Q271">
        <v>3.29</v>
      </c>
      <c r="R271">
        <v>10490282</v>
      </c>
      <c r="S271">
        <v>34288823</v>
      </c>
      <c r="T271">
        <v>24434489</v>
      </c>
      <c r="U271">
        <v>94.12</v>
      </c>
      <c r="V271">
        <v>5.48</v>
      </c>
      <c r="W271">
        <v>4941</v>
      </c>
      <c r="X271">
        <v>2.11</v>
      </c>
      <c r="Y271">
        <v>93.07</v>
      </c>
    </row>
    <row r="272" spans="1:25" x14ac:dyDescent="0.3">
      <c r="A272" t="s">
        <v>27</v>
      </c>
      <c r="B272" t="s">
        <v>34</v>
      </c>
      <c r="C272" t="s">
        <v>40</v>
      </c>
      <c r="D272" s="1">
        <v>44467</v>
      </c>
      <c r="E272">
        <v>29684104</v>
      </c>
      <c r="F272">
        <v>9419</v>
      </c>
      <c r="G272">
        <v>21.9</v>
      </c>
      <c r="H272">
        <v>1495</v>
      </c>
      <c r="I272">
        <v>343962</v>
      </c>
      <c r="J272">
        <v>11384</v>
      </c>
      <c r="K272">
        <v>41625</v>
      </c>
      <c r="L272">
        <v>165</v>
      </c>
      <c r="M272">
        <v>18169</v>
      </c>
      <c r="N272">
        <v>481011</v>
      </c>
      <c r="O272">
        <v>3283</v>
      </c>
      <c r="P272">
        <v>1624270</v>
      </c>
      <c r="Q272">
        <v>17.190000000000001</v>
      </c>
      <c r="R272">
        <v>43863735</v>
      </c>
      <c r="S272">
        <v>15136834</v>
      </c>
      <c r="T272">
        <v>17829279</v>
      </c>
      <c r="U272">
        <v>84.95</v>
      </c>
      <c r="V272">
        <v>0.71</v>
      </c>
      <c r="W272">
        <v>545</v>
      </c>
      <c r="X272">
        <v>3.34</v>
      </c>
      <c r="Y272">
        <v>89.54</v>
      </c>
    </row>
    <row r="273" spans="1:25" x14ac:dyDescent="0.3">
      <c r="A273" t="s">
        <v>26</v>
      </c>
      <c r="B273" t="s">
        <v>36</v>
      </c>
      <c r="C273" t="s">
        <v>39</v>
      </c>
      <c r="D273" s="1">
        <v>44468</v>
      </c>
      <c r="E273">
        <v>25518569</v>
      </c>
      <c r="F273">
        <v>14346</v>
      </c>
      <c r="G273">
        <v>48</v>
      </c>
      <c r="H273">
        <v>45755</v>
      </c>
      <c r="I273">
        <v>928699</v>
      </c>
      <c r="J273">
        <v>30348</v>
      </c>
      <c r="K273">
        <v>47563</v>
      </c>
      <c r="L273">
        <v>699</v>
      </c>
      <c r="M273">
        <v>334654</v>
      </c>
      <c r="N273">
        <v>331629</v>
      </c>
      <c r="O273">
        <v>7762</v>
      </c>
      <c r="P273">
        <v>397904</v>
      </c>
      <c r="Q273">
        <v>0.71</v>
      </c>
      <c r="R273">
        <v>37082638</v>
      </c>
      <c r="S273">
        <v>18090000</v>
      </c>
      <c r="T273">
        <v>7571592</v>
      </c>
      <c r="U273">
        <v>84.37</v>
      </c>
      <c r="V273">
        <v>7.31</v>
      </c>
      <c r="W273">
        <v>474</v>
      </c>
      <c r="X273">
        <v>3.21</v>
      </c>
      <c r="Y273">
        <v>13.84</v>
      </c>
    </row>
    <row r="274" spans="1:25" x14ac:dyDescent="0.3">
      <c r="A274" t="s">
        <v>29</v>
      </c>
      <c r="B274" t="s">
        <v>33</v>
      </c>
      <c r="C274" t="s">
        <v>41</v>
      </c>
      <c r="D274" s="1">
        <v>44469</v>
      </c>
      <c r="E274">
        <v>11430625</v>
      </c>
      <c r="F274">
        <v>15488</v>
      </c>
      <c r="G274">
        <v>23.8</v>
      </c>
      <c r="H274">
        <v>68684</v>
      </c>
      <c r="I274">
        <v>526825</v>
      </c>
      <c r="J274">
        <v>16448</v>
      </c>
      <c r="K274">
        <v>43738</v>
      </c>
      <c r="L274">
        <v>341</v>
      </c>
      <c r="M274">
        <v>506699</v>
      </c>
      <c r="N274">
        <v>218320</v>
      </c>
      <c r="O274">
        <v>7896</v>
      </c>
      <c r="P274">
        <v>1643148</v>
      </c>
      <c r="Q274">
        <v>11.91</v>
      </c>
      <c r="R274">
        <v>46032815</v>
      </c>
      <c r="S274">
        <v>4814206</v>
      </c>
      <c r="T274">
        <v>23912806</v>
      </c>
      <c r="U274">
        <v>51.23</v>
      </c>
      <c r="V274">
        <v>1.55</v>
      </c>
      <c r="W274">
        <v>2797</v>
      </c>
      <c r="X274">
        <v>1.97</v>
      </c>
      <c r="Y274">
        <v>85.01</v>
      </c>
    </row>
    <row r="275" spans="1:25" x14ac:dyDescent="0.3">
      <c r="A275" t="s">
        <v>30</v>
      </c>
      <c r="B275" t="s">
        <v>36</v>
      </c>
      <c r="C275" t="s">
        <v>38</v>
      </c>
      <c r="D275" s="1">
        <v>44470</v>
      </c>
      <c r="E275">
        <v>21727468</v>
      </c>
      <c r="F275">
        <v>15724</v>
      </c>
      <c r="G275">
        <v>37.9</v>
      </c>
      <c r="H275">
        <v>34324</v>
      </c>
      <c r="I275">
        <v>411354</v>
      </c>
      <c r="J275">
        <v>9491</v>
      </c>
      <c r="K275">
        <v>13545</v>
      </c>
      <c r="L275">
        <v>1505</v>
      </c>
      <c r="M275">
        <v>208336</v>
      </c>
      <c r="N275">
        <v>105253</v>
      </c>
      <c r="O275">
        <v>2419</v>
      </c>
      <c r="P275">
        <v>761006</v>
      </c>
      <c r="Q275">
        <v>9.1</v>
      </c>
      <c r="R275">
        <v>10604336</v>
      </c>
      <c r="S275">
        <v>31574919</v>
      </c>
      <c r="T275">
        <v>28045007</v>
      </c>
      <c r="U275">
        <v>78.94</v>
      </c>
      <c r="V275">
        <v>8</v>
      </c>
      <c r="W275">
        <v>2115</v>
      </c>
      <c r="X275">
        <v>3.11</v>
      </c>
      <c r="Y275">
        <v>94.84</v>
      </c>
    </row>
    <row r="276" spans="1:25" x14ac:dyDescent="0.3">
      <c r="A276" t="s">
        <v>25</v>
      </c>
      <c r="B276" t="s">
        <v>36</v>
      </c>
      <c r="C276" t="s">
        <v>41</v>
      </c>
      <c r="D276" s="1">
        <v>44471</v>
      </c>
      <c r="E276">
        <v>44013097</v>
      </c>
      <c r="F276">
        <v>4807</v>
      </c>
      <c r="G276">
        <v>25.1</v>
      </c>
      <c r="H276">
        <v>2552</v>
      </c>
      <c r="I276">
        <v>962832</v>
      </c>
      <c r="J276">
        <v>13112</v>
      </c>
      <c r="K276">
        <v>41012</v>
      </c>
      <c r="L276">
        <v>1042</v>
      </c>
      <c r="M276">
        <v>492790</v>
      </c>
      <c r="N276">
        <v>33926</v>
      </c>
      <c r="O276">
        <v>1756</v>
      </c>
      <c r="P276">
        <v>902011</v>
      </c>
      <c r="Q276">
        <v>21.43</v>
      </c>
      <c r="R276">
        <v>11389611</v>
      </c>
      <c r="S276">
        <v>18159088</v>
      </c>
      <c r="T276">
        <v>6648561</v>
      </c>
      <c r="U276">
        <v>17.940000000000001</v>
      </c>
      <c r="V276">
        <v>2.1</v>
      </c>
      <c r="W276">
        <v>2032</v>
      </c>
      <c r="X276">
        <v>4.09</v>
      </c>
      <c r="Y276">
        <v>36.119999999999997</v>
      </c>
    </row>
    <row r="277" spans="1:25" x14ac:dyDescent="0.3">
      <c r="A277" t="s">
        <v>26</v>
      </c>
      <c r="B277" t="s">
        <v>36</v>
      </c>
      <c r="C277" t="s">
        <v>37</v>
      </c>
      <c r="D277" s="1">
        <v>44472</v>
      </c>
      <c r="E277">
        <v>9749677</v>
      </c>
      <c r="F277">
        <v>3044</v>
      </c>
      <c r="G277">
        <v>27.8</v>
      </c>
      <c r="H277">
        <v>52272</v>
      </c>
      <c r="I277">
        <v>781498</v>
      </c>
      <c r="J277">
        <v>31021</v>
      </c>
      <c r="K277">
        <v>43281</v>
      </c>
      <c r="L277">
        <v>1651</v>
      </c>
      <c r="M277">
        <v>133415</v>
      </c>
      <c r="N277">
        <v>110134</v>
      </c>
      <c r="O277">
        <v>2306</v>
      </c>
      <c r="P277">
        <v>1587529</v>
      </c>
      <c r="Q277">
        <v>1.67</v>
      </c>
      <c r="R277">
        <v>6453001</v>
      </c>
      <c r="S277">
        <v>30088999</v>
      </c>
      <c r="T277">
        <v>2602562</v>
      </c>
      <c r="U277">
        <v>57.32</v>
      </c>
      <c r="V277">
        <v>3.78</v>
      </c>
      <c r="W277">
        <v>1518</v>
      </c>
      <c r="X277">
        <v>0.23</v>
      </c>
      <c r="Y277">
        <v>51.86</v>
      </c>
    </row>
    <row r="278" spans="1:25" x14ac:dyDescent="0.3">
      <c r="A278" t="s">
        <v>25</v>
      </c>
      <c r="B278" t="s">
        <v>36</v>
      </c>
      <c r="C278" t="s">
        <v>40</v>
      </c>
      <c r="D278" s="1">
        <v>44473</v>
      </c>
      <c r="E278">
        <v>48157169</v>
      </c>
      <c r="F278">
        <v>15276</v>
      </c>
      <c r="G278">
        <v>35.5</v>
      </c>
      <c r="H278">
        <v>36853</v>
      </c>
      <c r="I278">
        <v>702562</v>
      </c>
      <c r="J278">
        <v>44553</v>
      </c>
      <c r="K278">
        <v>5132</v>
      </c>
      <c r="L278">
        <v>979</v>
      </c>
      <c r="M278">
        <v>197181</v>
      </c>
      <c r="N278">
        <v>456681</v>
      </c>
      <c r="O278">
        <v>7630</v>
      </c>
      <c r="P278">
        <v>545929</v>
      </c>
      <c r="Q278">
        <v>14.66</v>
      </c>
      <c r="R278">
        <v>23862803</v>
      </c>
      <c r="S278">
        <v>14691024</v>
      </c>
      <c r="T278">
        <v>10046579</v>
      </c>
      <c r="U278">
        <v>98.38</v>
      </c>
      <c r="V278">
        <v>7.73</v>
      </c>
      <c r="W278">
        <v>3850</v>
      </c>
      <c r="X278">
        <v>2.31</v>
      </c>
      <c r="Y278">
        <v>77.91</v>
      </c>
    </row>
    <row r="279" spans="1:25" x14ac:dyDescent="0.3">
      <c r="A279" t="s">
        <v>28</v>
      </c>
      <c r="B279" t="s">
        <v>35</v>
      </c>
      <c r="C279" t="s">
        <v>39</v>
      </c>
      <c r="D279" s="1">
        <v>44474</v>
      </c>
      <c r="E279">
        <v>30723477</v>
      </c>
      <c r="F279">
        <v>1321</v>
      </c>
      <c r="G279">
        <v>31.4</v>
      </c>
      <c r="H279">
        <v>33924</v>
      </c>
      <c r="I279">
        <v>172236</v>
      </c>
      <c r="J279">
        <v>968</v>
      </c>
      <c r="K279">
        <v>9862</v>
      </c>
      <c r="L279">
        <v>1207</v>
      </c>
      <c r="M279">
        <v>575600</v>
      </c>
      <c r="N279">
        <v>84342</v>
      </c>
      <c r="O279">
        <v>6263</v>
      </c>
      <c r="P279">
        <v>426716</v>
      </c>
      <c r="Q279">
        <v>17.37</v>
      </c>
      <c r="R279">
        <v>43059781</v>
      </c>
      <c r="S279">
        <v>27749720</v>
      </c>
      <c r="T279">
        <v>6399177</v>
      </c>
      <c r="U279">
        <v>29.1</v>
      </c>
      <c r="V279">
        <v>9.57</v>
      </c>
      <c r="W279">
        <v>1283</v>
      </c>
      <c r="X279">
        <v>3.82</v>
      </c>
      <c r="Y279">
        <v>56.21</v>
      </c>
    </row>
    <row r="280" spans="1:25" x14ac:dyDescent="0.3">
      <c r="A280" t="s">
        <v>28</v>
      </c>
      <c r="B280" t="s">
        <v>35</v>
      </c>
      <c r="C280" t="s">
        <v>39</v>
      </c>
      <c r="D280" s="1">
        <v>44475</v>
      </c>
      <c r="E280">
        <v>27827176</v>
      </c>
      <c r="F280">
        <v>1863</v>
      </c>
      <c r="G280">
        <v>23.1</v>
      </c>
      <c r="H280">
        <v>24889</v>
      </c>
      <c r="I280">
        <v>913977</v>
      </c>
      <c r="J280">
        <v>368</v>
      </c>
      <c r="K280">
        <v>5397</v>
      </c>
      <c r="L280">
        <v>1805</v>
      </c>
      <c r="M280">
        <v>802991</v>
      </c>
      <c r="N280">
        <v>385310</v>
      </c>
      <c r="O280">
        <v>9167</v>
      </c>
      <c r="P280">
        <v>561085</v>
      </c>
      <c r="Q280">
        <v>18.52</v>
      </c>
      <c r="R280">
        <v>45522439</v>
      </c>
      <c r="S280">
        <v>24239037</v>
      </c>
      <c r="T280">
        <v>27596151</v>
      </c>
      <c r="U280">
        <v>79.44</v>
      </c>
      <c r="V280">
        <v>4.03</v>
      </c>
      <c r="W280">
        <v>1847</v>
      </c>
      <c r="X280">
        <v>2.78</v>
      </c>
      <c r="Y280">
        <v>99.35</v>
      </c>
    </row>
    <row r="281" spans="1:25" x14ac:dyDescent="0.3">
      <c r="A281" t="s">
        <v>31</v>
      </c>
      <c r="B281" t="s">
        <v>32</v>
      </c>
      <c r="C281" t="s">
        <v>40</v>
      </c>
      <c r="D281" s="1">
        <v>44476</v>
      </c>
      <c r="E281">
        <v>14237336</v>
      </c>
      <c r="F281">
        <v>18895</v>
      </c>
      <c r="G281">
        <v>23.5</v>
      </c>
      <c r="H281">
        <v>55675</v>
      </c>
      <c r="I281">
        <v>90743</v>
      </c>
      <c r="J281">
        <v>8424</v>
      </c>
      <c r="K281">
        <v>31769</v>
      </c>
      <c r="L281">
        <v>544</v>
      </c>
      <c r="M281">
        <v>348913</v>
      </c>
      <c r="N281">
        <v>50200</v>
      </c>
      <c r="O281">
        <v>5008</v>
      </c>
      <c r="P281">
        <v>1789702</v>
      </c>
      <c r="Q281">
        <v>12.15</v>
      </c>
      <c r="R281">
        <v>7940012</v>
      </c>
      <c r="S281">
        <v>23876491</v>
      </c>
      <c r="T281">
        <v>9783545</v>
      </c>
      <c r="U281">
        <v>49.05</v>
      </c>
      <c r="V281">
        <v>8.3800000000000008</v>
      </c>
      <c r="W281">
        <v>614</v>
      </c>
      <c r="X281">
        <v>3.29</v>
      </c>
      <c r="Y281">
        <v>45.57</v>
      </c>
    </row>
    <row r="282" spans="1:25" x14ac:dyDescent="0.3">
      <c r="A282" t="s">
        <v>25</v>
      </c>
      <c r="B282" t="s">
        <v>34</v>
      </c>
      <c r="C282" t="s">
        <v>40</v>
      </c>
      <c r="D282" s="1">
        <v>44477</v>
      </c>
      <c r="E282">
        <v>22932851</v>
      </c>
      <c r="F282">
        <v>8525</v>
      </c>
      <c r="G282">
        <v>31.4</v>
      </c>
      <c r="H282">
        <v>23634</v>
      </c>
      <c r="I282">
        <v>448875</v>
      </c>
      <c r="J282">
        <v>35010</v>
      </c>
      <c r="K282">
        <v>40409</v>
      </c>
      <c r="L282">
        <v>1033</v>
      </c>
      <c r="M282">
        <v>777650</v>
      </c>
      <c r="N282">
        <v>221271</v>
      </c>
      <c r="O282">
        <v>5247</v>
      </c>
      <c r="P282">
        <v>1357670</v>
      </c>
      <c r="Q282">
        <v>9.1300000000000008</v>
      </c>
      <c r="R282">
        <v>4736033</v>
      </c>
      <c r="S282">
        <v>36239832</v>
      </c>
      <c r="T282">
        <v>9714109</v>
      </c>
      <c r="U282">
        <v>3.98</v>
      </c>
      <c r="V282">
        <v>2.31</v>
      </c>
      <c r="W282">
        <v>3069</v>
      </c>
      <c r="X282">
        <v>2.63</v>
      </c>
      <c r="Y282">
        <v>71.39</v>
      </c>
    </row>
    <row r="283" spans="1:25" x14ac:dyDescent="0.3">
      <c r="A283" t="s">
        <v>30</v>
      </c>
      <c r="B283" t="s">
        <v>36</v>
      </c>
      <c r="C283" t="s">
        <v>37</v>
      </c>
      <c r="D283" s="1">
        <v>44478</v>
      </c>
      <c r="E283">
        <v>48532410</v>
      </c>
      <c r="F283">
        <v>4446</v>
      </c>
      <c r="G283">
        <v>42.2</v>
      </c>
      <c r="H283">
        <v>33363</v>
      </c>
      <c r="I283">
        <v>87155</v>
      </c>
      <c r="J283">
        <v>35851</v>
      </c>
      <c r="K283">
        <v>40004</v>
      </c>
      <c r="L283">
        <v>1615</v>
      </c>
      <c r="M283">
        <v>172340</v>
      </c>
      <c r="N283">
        <v>387414</v>
      </c>
      <c r="O283">
        <v>8914</v>
      </c>
      <c r="P283">
        <v>1992126</v>
      </c>
      <c r="Q283">
        <v>20.47</v>
      </c>
      <c r="R283">
        <v>27293692</v>
      </c>
      <c r="S283">
        <v>16900210</v>
      </c>
      <c r="T283">
        <v>7117753</v>
      </c>
      <c r="U283">
        <v>76.3</v>
      </c>
      <c r="V283">
        <v>8.17</v>
      </c>
      <c r="W283">
        <v>1354</v>
      </c>
      <c r="X283">
        <v>4.96</v>
      </c>
      <c r="Y283">
        <v>79.260000000000005</v>
      </c>
    </row>
    <row r="284" spans="1:25" x14ac:dyDescent="0.3">
      <c r="A284" t="s">
        <v>27</v>
      </c>
      <c r="B284" t="s">
        <v>32</v>
      </c>
      <c r="C284" t="s">
        <v>41</v>
      </c>
      <c r="D284" s="1">
        <v>44479</v>
      </c>
      <c r="E284">
        <v>28873620</v>
      </c>
      <c r="F284">
        <v>9333</v>
      </c>
      <c r="G284">
        <v>46.7</v>
      </c>
      <c r="H284">
        <v>64752</v>
      </c>
      <c r="I284">
        <v>968196</v>
      </c>
      <c r="J284">
        <v>25496</v>
      </c>
      <c r="K284">
        <v>37886</v>
      </c>
      <c r="L284">
        <v>191</v>
      </c>
      <c r="M284">
        <v>25895</v>
      </c>
      <c r="N284">
        <v>397675</v>
      </c>
      <c r="O284">
        <v>2570</v>
      </c>
      <c r="P284">
        <v>916986</v>
      </c>
      <c r="Q284">
        <v>25.43</v>
      </c>
      <c r="R284">
        <v>10023647</v>
      </c>
      <c r="S284">
        <v>8329315</v>
      </c>
      <c r="T284">
        <v>7872789</v>
      </c>
      <c r="U284">
        <v>16.86</v>
      </c>
      <c r="V284">
        <v>6.75</v>
      </c>
      <c r="W284">
        <v>182</v>
      </c>
      <c r="X284">
        <v>0.37</v>
      </c>
      <c r="Y284">
        <v>49.41</v>
      </c>
    </row>
    <row r="285" spans="1:25" x14ac:dyDescent="0.3">
      <c r="A285" t="s">
        <v>26</v>
      </c>
      <c r="B285" t="s">
        <v>34</v>
      </c>
      <c r="C285" t="s">
        <v>39</v>
      </c>
      <c r="D285" s="1">
        <v>44480</v>
      </c>
      <c r="E285">
        <v>17438661</v>
      </c>
      <c r="F285">
        <v>13368</v>
      </c>
      <c r="G285">
        <v>20.7</v>
      </c>
      <c r="H285">
        <v>57398</v>
      </c>
      <c r="I285">
        <v>907630</v>
      </c>
      <c r="J285">
        <v>30936</v>
      </c>
      <c r="K285">
        <v>34888</v>
      </c>
      <c r="L285">
        <v>319</v>
      </c>
      <c r="M285">
        <v>282846</v>
      </c>
      <c r="N285">
        <v>358449</v>
      </c>
      <c r="O285">
        <v>5807</v>
      </c>
      <c r="P285">
        <v>1676203</v>
      </c>
      <c r="Q285">
        <v>20.81</v>
      </c>
      <c r="R285">
        <v>24124082</v>
      </c>
      <c r="S285">
        <v>38656437</v>
      </c>
      <c r="T285">
        <v>17084527</v>
      </c>
      <c r="U285">
        <v>63.15</v>
      </c>
      <c r="V285">
        <v>2.33</v>
      </c>
      <c r="W285">
        <v>498</v>
      </c>
      <c r="X285">
        <v>2.5099999999999998</v>
      </c>
      <c r="Y285">
        <v>85.7</v>
      </c>
    </row>
    <row r="286" spans="1:25" x14ac:dyDescent="0.3">
      <c r="A286" t="s">
        <v>29</v>
      </c>
      <c r="B286" t="s">
        <v>33</v>
      </c>
      <c r="C286" t="s">
        <v>37</v>
      </c>
      <c r="D286" s="1">
        <v>44481</v>
      </c>
      <c r="E286">
        <v>4334242</v>
      </c>
      <c r="F286">
        <v>17250</v>
      </c>
      <c r="G286">
        <v>30.6</v>
      </c>
      <c r="H286">
        <v>41718</v>
      </c>
      <c r="I286">
        <v>943349</v>
      </c>
      <c r="J286">
        <v>13322</v>
      </c>
      <c r="K286">
        <v>33735</v>
      </c>
      <c r="L286">
        <v>1725</v>
      </c>
      <c r="M286">
        <v>230207</v>
      </c>
      <c r="N286">
        <v>12909</v>
      </c>
      <c r="O286">
        <v>7812</v>
      </c>
      <c r="P286">
        <v>1687295</v>
      </c>
      <c r="Q286">
        <v>27.96</v>
      </c>
      <c r="R286">
        <v>33022709</v>
      </c>
      <c r="S286">
        <v>21701976</v>
      </c>
      <c r="T286">
        <v>20135754</v>
      </c>
      <c r="U286">
        <v>8.57</v>
      </c>
      <c r="V286">
        <v>3.37</v>
      </c>
      <c r="W286">
        <v>1880</v>
      </c>
      <c r="X286">
        <v>0.55000000000000004</v>
      </c>
      <c r="Y286">
        <v>54.62</v>
      </c>
    </row>
    <row r="287" spans="1:25" x14ac:dyDescent="0.3">
      <c r="A287" t="s">
        <v>30</v>
      </c>
      <c r="B287" t="s">
        <v>35</v>
      </c>
      <c r="C287" t="s">
        <v>41</v>
      </c>
      <c r="D287" s="1">
        <v>44482</v>
      </c>
      <c r="E287">
        <v>12171439</v>
      </c>
      <c r="F287">
        <v>132</v>
      </c>
      <c r="G287">
        <v>21.2</v>
      </c>
      <c r="H287">
        <v>27870</v>
      </c>
      <c r="I287">
        <v>90846</v>
      </c>
      <c r="J287">
        <v>1469</v>
      </c>
      <c r="K287">
        <v>7156</v>
      </c>
      <c r="L287">
        <v>579</v>
      </c>
      <c r="M287">
        <v>771969</v>
      </c>
      <c r="N287">
        <v>64550</v>
      </c>
      <c r="O287">
        <v>324</v>
      </c>
      <c r="P287">
        <v>1281851</v>
      </c>
      <c r="Q287">
        <v>21.52</v>
      </c>
      <c r="R287">
        <v>39058921</v>
      </c>
      <c r="S287">
        <v>18659676</v>
      </c>
      <c r="T287">
        <v>1854936</v>
      </c>
      <c r="U287">
        <v>94.69</v>
      </c>
      <c r="V287">
        <v>1.75</v>
      </c>
      <c r="W287">
        <v>2208</v>
      </c>
      <c r="X287">
        <v>0.88</v>
      </c>
      <c r="Y287">
        <v>41.17</v>
      </c>
    </row>
    <row r="288" spans="1:25" x14ac:dyDescent="0.3">
      <c r="A288" t="s">
        <v>30</v>
      </c>
      <c r="B288" t="s">
        <v>34</v>
      </c>
      <c r="C288" t="s">
        <v>37</v>
      </c>
      <c r="D288" s="1">
        <v>44483</v>
      </c>
      <c r="E288">
        <v>30084733</v>
      </c>
      <c r="F288">
        <v>1970</v>
      </c>
      <c r="G288">
        <v>18.5</v>
      </c>
      <c r="H288">
        <v>38394</v>
      </c>
      <c r="I288">
        <v>759795</v>
      </c>
      <c r="J288">
        <v>37493</v>
      </c>
      <c r="K288">
        <v>570</v>
      </c>
      <c r="L288">
        <v>474</v>
      </c>
      <c r="M288">
        <v>728908</v>
      </c>
      <c r="N288">
        <v>300672</v>
      </c>
      <c r="O288">
        <v>7487</v>
      </c>
      <c r="P288">
        <v>403854</v>
      </c>
      <c r="Q288">
        <v>22.94</v>
      </c>
      <c r="R288">
        <v>18179</v>
      </c>
      <c r="S288">
        <v>7118986</v>
      </c>
      <c r="T288">
        <v>20130537</v>
      </c>
      <c r="U288">
        <v>29.17</v>
      </c>
      <c r="V288">
        <v>4.1399999999999997</v>
      </c>
      <c r="W288">
        <v>3676</v>
      </c>
      <c r="X288">
        <v>1.98</v>
      </c>
      <c r="Y288">
        <v>10.78</v>
      </c>
    </row>
    <row r="289" spans="1:25" x14ac:dyDescent="0.3">
      <c r="A289" t="s">
        <v>28</v>
      </c>
      <c r="B289" t="s">
        <v>33</v>
      </c>
      <c r="C289" t="s">
        <v>39</v>
      </c>
      <c r="D289" s="1">
        <v>44484</v>
      </c>
      <c r="E289">
        <v>6994503</v>
      </c>
      <c r="F289">
        <v>7867</v>
      </c>
      <c r="G289">
        <v>39.200000000000003</v>
      </c>
      <c r="H289">
        <v>53057</v>
      </c>
      <c r="I289">
        <v>293706</v>
      </c>
      <c r="J289">
        <v>4259</v>
      </c>
      <c r="K289">
        <v>1322</v>
      </c>
      <c r="L289">
        <v>1883</v>
      </c>
      <c r="M289">
        <v>225339</v>
      </c>
      <c r="N289">
        <v>488306</v>
      </c>
      <c r="O289">
        <v>9721</v>
      </c>
      <c r="P289">
        <v>1857181</v>
      </c>
      <c r="Q289">
        <v>5.04</v>
      </c>
      <c r="R289">
        <v>20211307</v>
      </c>
      <c r="S289">
        <v>26563405</v>
      </c>
      <c r="T289">
        <v>10787503</v>
      </c>
      <c r="U289">
        <v>22.65</v>
      </c>
      <c r="V289">
        <v>2.4300000000000002</v>
      </c>
      <c r="W289">
        <v>899</v>
      </c>
      <c r="X289">
        <v>0.86</v>
      </c>
      <c r="Y289">
        <v>39.340000000000003</v>
      </c>
    </row>
    <row r="290" spans="1:25" x14ac:dyDescent="0.3">
      <c r="A290" t="s">
        <v>25</v>
      </c>
      <c r="B290" t="s">
        <v>34</v>
      </c>
      <c r="C290" t="s">
        <v>40</v>
      </c>
      <c r="D290" s="1">
        <v>44485</v>
      </c>
      <c r="E290">
        <v>32766497</v>
      </c>
      <c r="F290">
        <v>11733</v>
      </c>
      <c r="G290">
        <v>37.299999999999997</v>
      </c>
      <c r="H290">
        <v>14016</v>
      </c>
      <c r="I290">
        <v>815468</v>
      </c>
      <c r="J290">
        <v>36390</v>
      </c>
      <c r="K290">
        <v>18215</v>
      </c>
      <c r="L290">
        <v>636</v>
      </c>
      <c r="M290">
        <v>220382</v>
      </c>
      <c r="N290">
        <v>335034</v>
      </c>
      <c r="O290">
        <v>5645</v>
      </c>
      <c r="P290">
        <v>669582</v>
      </c>
      <c r="Q290">
        <v>12.59</v>
      </c>
      <c r="R290">
        <v>27366129</v>
      </c>
      <c r="S290">
        <v>32659749</v>
      </c>
      <c r="T290">
        <v>6701447</v>
      </c>
      <c r="U290">
        <v>12.91</v>
      </c>
      <c r="V290">
        <v>6.62</v>
      </c>
      <c r="W290">
        <v>4012</v>
      </c>
      <c r="X290">
        <v>4.82</v>
      </c>
      <c r="Y290">
        <v>73.39</v>
      </c>
    </row>
    <row r="291" spans="1:25" x14ac:dyDescent="0.3">
      <c r="A291" t="s">
        <v>31</v>
      </c>
      <c r="B291" t="s">
        <v>35</v>
      </c>
      <c r="C291" t="s">
        <v>40</v>
      </c>
      <c r="D291" s="1">
        <v>44486</v>
      </c>
      <c r="E291">
        <v>32207048</v>
      </c>
      <c r="F291">
        <v>11386</v>
      </c>
      <c r="G291">
        <v>23.2</v>
      </c>
      <c r="H291">
        <v>43137</v>
      </c>
      <c r="I291">
        <v>717112</v>
      </c>
      <c r="J291">
        <v>10292</v>
      </c>
      <c r="K291">
        <v>11605</v>
      </c>
      <c r="L291">
        <v>426</v>
      </c>
      <c r="M291">
        <v>628023</v>
      </c>
      <c r="N291">
        <v>111226</v>
      </c>
      <c r="O291">
        <v>1945</v>
      </c>
      <c r="P291">
        <v>182136</v>
      </c>
      <c r="Q291">
        <v>14.55</v>
      </c>
      <c r="R291">
        <v>1523155</v>
      </c>
      <c r="S291">
        <v>24008208</v>
      </c>
      <c r="T291">
        <v>3474376</v>
      </c>
      <c r="U291">
        <v>94.6</v>
      </c>
      <c r="V291">
        <v>9.9499999999999993</v>
      </c>
      <c r="W291">
        <v>1530</v>
      </c>
      <c r="X291">
        <v>4.74</v>
      </c>
      <c r="Y291">
        <v>92.13</v>
      </c>
    </row>
    <row r="292" spans="1:25" x14ac:dyDescent="0.3">
      <c r="A292" t="s">
        <v>31</v>
      </c>
      <c r="B292" t="s">
        <v>35</v>
      </c>
      <c r="C292" t="s">
        <v>41</v>
      </c>
      <c r="D292" s="1">
        <v>44487</v>
      </c>
      <c r="E292">
        <v>1184029</v>
      </c>
      <c r="F292">
        <v>15646</v>
      </c>
      <c r="G292">
        <v>25.5</v>
      </c>
      <c r="H292">
        <v>1153</v>
      </c>
      <c r="I292">
        <v>861665</v>
      </c>
      <c r="J292">
        <v>26841</v>
      </c>
      <c r="K292">
        <v>22040</v>
      </c>
      <c r="L292">
        <v>1871</v>
      </c>
      <c r="M292">
        <v>570298</v>
      </c>
      <c r="N292">
        <v>352565</v>
      </c>
      <c r="O292">
        <v>4486</v>
      </c>
      <c r="P292">
        <v>1217658</v>
      </c>
      <c r="Q292">
        <v>7.69</v>
      </c>
      <c r="R292">
        <v>39575575</v>
      </c>
      <c r="S292">
        <v>32914375</v>
      </c>
      <c r="T292">
        <v>13052046</v>
      </c>
      <c r="U292">
        <v>71.19</v>
      </c>
      <c r="V292">
        <v>0.61</v>
      </c>
      <c r="W292">
        <v>950</v>
      </c>
      <c r="X292">
        <v>1.75</v>
      </c>
      <c r="Y292">
        <v>25.17</v>
      </c>
    </row>
    <row r="293" spans="1:25" x14ac:dyDescent="0.3">
      <c r="A293" t="s">
        <v>26</v>
      </c>
      <c r="B293" t="s">
        <v>32</v>
      </c>
      <c r="C293" t="s">
        <v>38</v>
      </c>
      <c r="D293" s="1">
        <v>44488</v>
      </c>
      <c r="E293">
        <v>5837355</v>
      </c>
      <c r="F293">
        <v>2143</v>
      </c>
      <c r="G293">
        <v>18.8</v>
      </c>
      <c r="H293">
        <v>8853</v>
      </c>
      <c r="I293">
        <v>608337</v>
      </c>
      <c r="J293">
        <v>28365</v>
      </c>
      <c r="K293">
        <v>21339</v>
      </c>
      <c r="L293">
        <v>1082</v>
      </c>
      <c r="M293">
        <v>612733</v>
      </c>
      <c r="N293">
        <v>264337</v>
      </c>
      <c r="O293">
        <v>2430</v>
      </c>
      <c r="P293">
        <v>1302877</v>
      </c>
      <c r="Q293">
        <v>15.86</v>
      </c>
      <c r="R293">
        <v>21570775</v>
      </c>
      <c r="S293">
        <v>33932579</v>
      </c>
      <c r="T293">
        <v>21042207</v>
      </c>
      <c r="U293">
        <v>74.17</v>
      </c>
      <c r="V293">
        <v>5.64</v>
      </c>
      <c r="W293">
        <v>4904</v>
      </c>
      <c r="X293">
        <v>3.23</v>
      </c>
      <c r="Y293">
        <v>35.520000000000003</v>
      </c>
    </row>
    <row r="294" spans="1:25" x14ac:dyDescent="0.3">
      <c r="A294" t="s">
        <v>28</v>
      </c>
      <c r="B294" t="s">
        <v>36</v>
      </c>
      <c r="C294" t="s">
        <v>41</v>
      </c>
      <c r="D294" s="1">
        <v>44489</v>
      </c>
      <c r="E294">
        <v>49261066</v>
      </c>
      <c r="F294">
        <v>12955</v>
      </c>
      <c r="G294">
        <v>44.7</v>
      </c>
      <c r="H294">
        <v>13379</v>
      </c>
      <c r="I294">
        <v>240647</v>
      </c>
      <c r="J294">
        <v>17207</v>
      </c>
      <c r="K294">
        <v>38152</v>
      </c>
      <c r="L294">
        <v>1459</v>
      </c>
      <c r="M294">
        <v>243302</v>
      </c>
      <c r="N294">
        <v>44598</v>
      </c>
      <c r="O294">
        <v>3510</v>
      </c>
      <c r="P294">
        <v>543383</v>
      </c>
      <c r="Q294">
        <v>8.7200000000000006</v>
      </c>
      <c r="R294">
        <v>47026230</v>
      </c>
      <c r="S294">
        <v>39010377</v>
      </c>
      <c r="T294">
        <v>19294388</v>
      </c>
      <c r="U294">
        <v>49.94</v>
      </c>
      <c r="V294">
        <v>5.95</v>
      </c>
      <c r="W294">
        <v>1589</v>
      </c>
      <c r="X294">
        <v>2.72</v>
      </c>
      <c r="Y294">
        <v>15.4</v>
      </c>
    </row>
    <row r="295" spans="1:25" x14ac:dyDescent="0.3">
      <c r="A295" t="s">
        <v>30</v>
      </c>
      <c r="B295" t="s">
        <v>34</v>
      </c>
      <c r="C295" t="s">
        <v>38</v>
      </c>
      <c r="D295" s="1">
        <v>44490</v>
      </c>
      <c r="E295">
        <v>7481440</v>
      </c>
      <c r="F295">
        <v>8417</v>
      </c>
      <c r="G295">
        <v>49.2</v>
      </c>
      <c r="H295">
        <v>16792</v>
      </c>
      <c r="I295">
        <v>331825</v>
      </c>
      <c r="J295">
        <v>36199</v>
      </c>
      <c r="K295">
        <v>2661</v>
      </c>
      <c r="L295">
        <v>96</v>
      </c>
      <c r="M295">
        <v>774956</v>
      </c>
      <c r="N295">
        <v>116351</v>
      </c>
      <c r="O295">
        <v>845</v>
      </c>
      <c r="P295">
        <v>1173130</v>
      </c>
      <c r="Q295">
        <v>20.63</v>
      </c>
      <c r="R295">
        <v>19901465</v>
      </c>
      <c r="S295">
        <v>26190307</v>
      </c>
      <c r="T295">
        <v>12429890</v>
      </c>
      <c r="U295">
        <v>47.47</v>
      </c>
      <c r="V295">
        <v>9.18</v>
      </c>
      <c r="W295">
        <v>1949</v>
      </c>
      <c r="X295">
        <v>4.0999999999999996</v>
      </c>
      <c r="Y295">
        <v>69.069999999999993</v>
      </c>
    </row>
    <row r="296" spans="1:25" x14ac:dyDescent="0.3">
      <c r="A296" t="s">
        <v>27</v>
      </c>
      <c r="B296" t="s">
        <v>34</v>
      </c>
      <c r="C296" t="s">
        <v>37</v>
      </c>
      <c r="D296" s="1">
        <v>44491</v>
      </c>
      <c r="E296">
        <v>27418198</v>
      </c>
      <c r="F296">
        <v>5335</v>
      </c>
      <c r="G296">
        <v>22.3</v>
      </c>
      <c r="H296">
        <v>39367</v>
      </c>
      <c r="I296">
        <v>290962</v>
      </c>
      <c r="J296">
        <v>22912</v>
      </c>
      <c r="K296">
        <v>10016</v>
      </c>
      <c r="L296">
        <v>495</v>
      </c>
      <c r="M296">
        <v>857581</v>
      </c>
      <c r="N296">
        <v>41085</v>
      </c>
      <c r="O296">
        <v>567</v>
      </c>
      <c r="P296">
        <v>395655</v>
      </c>
      <c r="Q296">
        <v>14.11</v>
      </c>
      <c r="R296">
        <v>35297606</v>
      </c>
      <c r="S296">
        <v>5648399</v>
      </c>
      <c r="T296">
        <v>21659139</v>
      </c>
      <c r="U296">
        <v>11</v>
      </c>
      <c r="V296">
        <v>5.31</v>
      </c>
      <c r="W296">
        <v>2994</v>
      </c>
      <c r="X296">
        <v>3.17</v>
      </c>
      <c r="Y296">
        <v>96.02</v>
      </c>
    </row>
    <row r="297" spans="1:25" x14ac:dyDescent="0.3">
      <c r="A297" t="s">
        <v>28</v>
      </c>
      <c r="B297" t="s">
        <v>33</v>
      </c>
      <c r="C297" t="s">
        <v>37</v>
      </c>
      <c r="D297" s="1">
        <v>44492</v>
      </c>
      <c r="E297">
        <v>38054126</v>
      </c>
      <c r="F297">
        <v>10946</v>
      </c>
      <c r="G297">
        <v>25.4</v>
      </c>
      <c r="H297">
        <v>19100</v>
      </c>
      <c r="I297">
        <v>949048</v>
      </c>
      <c r="J297">
        <v>36919</v>
      </c>
      <c r="K297">
        <v>42711</v>
      </c>
      <c r="L297">
        <v>1810</v>
      </c>
      <c r="M297">
        <v>893655</v>
      </c>
      <c r="N297">
        <v>294253</v>
      </c>
      <c r="O297">
        <v>2179</v>
      </c>
      <c r="P297">
        <v>913046</v>
      </c>
      <c r="Q297">
        <v>13.76</v>
      </c>
      <c r="R297">
        <v>45349049</v>
      </c>
      <c r="S297">
        <v>9225551</v>
      </c>
      <c r="T297">
        <v>2878237</v>
      </c>
      <c r="U297">
        <v>55.98</v>
      </c>
      <c r="V297">
        <v>5.67</v>
      </c>
      <c r="W297">
        <v>3294</v>
      </c>
      <c r="X297">
        <v>0.1</v>
      </c>
      <c r="Y297">
        <v>64.099999999999994</v>
      </c>
    </row>
    <row r="298" spans="1:25" x14ac:dyDescent="0.3">
      <c r="A298" t="s">
        <v>26</v>
      </c>
      <c r="B298" t="s">
        <v>35</v>
      </c>
      <c r="C298" t="s">
        <v>39</v>
      </c>
      <c r="D298" s="1">
        <v>44493</v>
      </c>
      <c r="E298">
        <v>17184388</v>
      </c>
      <c r="F298">
        <v>4987</v>
      </c>
      <c r="G298">
        <v>45.8</v>
      </c>
      <c r="H298">
        <v>64456</v>
      </c>
      <c r="I298">
        <v>849964</v>
      </c>
      <c r="J298">
        <v>36981</v>
      </c>
      <c r="K298">
        <v>48950</v>
      </c>
      <c r="L298">
        <v>660</v>
      </c>
      <c r="M298">
        <v>527669</v>
      </c>
      <c r="N298">
        <v>475410</v>
      </c>
      <c r="O298">
        <v>2019</v>
      </c>
      <c r="P298">
        <v>1808853</v>
      </c>
      <c r="Q298">
        <v>29.51</v>
      </c>
      <c r="R298">
        <v>39214091</v>
      </c>
      <c r="S298">
        <v>23149336</v>
      </c>
      <c r="T298">
        <v>5853452</v>
      </c>
      <c r="U298">
        <v>24.69</v>
      </c>
      <c r="V298">
        <v>4.9800000000000004</v>
      </c>
      <c r="W298">
        <v>564</v>
      </c>
      <c r="X298">
        <v>3.84</v>
      </c>
      <c r="Y298">
        <v>61.71</v>
      </c>
    </row>
    <row r="299" spans="1:25" x14ac:dyDescent="0.3">
      <c r="A299" t="s">
        <v>26</v>
      </c>
      <c r="B299" t="s">
        <v>34</v>
      </c>
      <c r="C299" t="s">
        <v>38</v>
      </c>
      <c r="D299" s="1">
        <v>44494</v>
      </c>
      <c r="E299">
        <v>48378717</v>
      </c>
      <c r="F299">
        <v>16803</v>
      </c>
      <c r="G299">
        <v>47.6</v>
      </c>
      <c r="H299">
        <v>12049</v>
      </c>
      <c r="I299">
        <v>997140</v>
      </c>
      <c r="J299">
        <v>15235</v>
      </c>
      <c r="K299">
        <v>35655</v>
      </c>
      <c r="L299">
        <v>1301</v>
      </c>
      <c r="M299">
        <v>832845</v>
      </c>
      <c r="N299">
        <v>390759</v>
      </c>
      <c r="O299">
        <v>3319</v>
      </c>
      <c r="P299">
        <v>479766</v>
      </c>
      <c r="Q299">
        <v>11.77</v>
      </c>
      <c r="R299">
        <v>20279155</v>
      </c>
      <c r="S299">
        <v>36063080</v>
      </c>
      <c r="T299">
        <v>21056747</v>
      </c>
      <c r="U299">
        <v>97.71</v>
      </c>
      <c r="V299">
        <v>3.05</v>
      </c>
      <c r="W299">
        <v>1641</v>
      </c>
      <c r="X299">
        <v>3.76</v>
      </c>
      <c r="Y299">
        <v>55.35</v>
      </c>
    </row>
    <row r="300" spans="1:25" x14ac:dyDescent="0.3">
      <c r="A300" t="s">
        <v>28</v>
      </c>
      <c r="B300" t="s">
        <v>35</v>
      </c>
      <c r="C300" t="s">
        <v>39</v>
      </c>
      <c r="D300" s="1">
        <v>44495</v>
      </c>
      <c r="E300">
        <v>45268534</v>
      </c>
      <c r="F300">
        <v>18252</v>
      </c>
      <c r="G300">
        <v>31.4</v>
      </c>
      <c r="H300">
        <v>1786</v>
      </c>
      <c r="I300">
        <v>320849</v>
      </c>
      <c r="J300">
        <v>41757</v>
      </c>
      <c r="K300">
        <v>21976</v>
      </c>
      <c r="L300">
        <v>1288</v>
      </c>
      <c r="M300">
        <v>636648</v>
      </c>
      <c r="N300">
        <v>17818</v>
      </c>
      <c r="O300">
        <v>2320</v>
      </c>
      <c r="P300">
        <v>923879</v>
      </c>
      <c r="Q300">
        <v>10.87</v>
      </c>
      <c r="R300">
        <v>8696241</v>
      </c>
      <c r="S300">
        <v>21068700</v>
      </c>
      <c r="T300">
        <v>25263380</v>
      </c>
      <c r="U300">
        <v>79.66</v>
      </c>
      <c r="V300">
        <v>1.03</v>
      </c>
      <c r="W300">
        <v>133</v>
      </c>
      <c r="X300">
        <v>2.6</v>
      </c>
      <c r="Y300">
        <v>8.85</v>
      </c>
    </row>
    <row r="301" spans="1:25" x14ac:dyDescent="0.3">
      <c r="A301" t="s">
        <v>26</v>
      </c>
      <c r="B301" t="s">
        <v>34</v>
      </c>
      <c r="C301" t="s">
        <v>40</v>
      </c>
      <c r="D301" s="1">
        <v>44496</v>
      </c>
      <c r="E301">
        <v>18638519</v>
      </c>
      <c r="F301">
        <v>18535</v>
      </c>
      <c r="G301">
        <v>19.600000000000001</v>
      </c>
      <c r="H301">
        <v>31699</v>
      </c>
      <c r="I301">
        <v>545392</v>
      </c>
      <c r="J301">
        <v>33547</v>
      </c>
      <c r="K301">
        <v>27856</v>
      </c>
      <c r="L301">
        <v>8</v>
      </c>
      <c r="M301">
        <v>871717</v>
      </c>
      <c r="N301">
        <v>278949</v>
      </c>
      <c r="O301">
        <v>1646</v>
      </c>
      <c r="P301">
        <v>1662887</v>
      </c>
      <c r="Q301">
        <v>9.56</v>
      </c>
      <c r="R301">
        <v>14712728</v>
      </c>
      <c r="S301">
        <v>17405054</v>
      </c>
      <c r="T301">
        <v>4762152</v>
      </c>
      <c r="U301">
        <v>41.3</v>
      </c>
      <c r="V301">
        <v>4.38</v>
      </c>
      <c r="W301">
        <v>3792</v>
      </c>
      <c r="X301">
        <v>4.5199999999999996</v>
      </c>
      <c r="Y301">
        <v>72.95</v>
      </c>
    </row>
    <row r="302" spans="1:25" x14ac:dyDescent="0.3">
      <c r="A302" t="s">
        <v>28</v>
      </c>
      <c r="B302" t="s">
        <v>32</v>
      </c>
      <c r="C302" t="s">
        <v>38</v>
      </c>
      <c r="D302" s="1">
        <v>44497</v>
      </c>
      <c r="E302">
        <v>21478981</v>
      </c>
      <c r="F302">
        <v>13027</v>
      </c>
      <c r="G302">
        <v>19.3</v>
      </c>
      <c r="H302">
        <v>48691</v>
      </c>
      <c r="I302">
        <v>387480</v>
      </c>
      <c r="J302">
        <v>48119</v>
      </c>
      <c r="K302">
        <v>21784</v>
      </c>
      <c r="L302">
        <v>456</v>
      </c>
      <c r="M302">
        <v>458753</v>
      </c>
      <c r="N302">
        <v>349862</v>
      </c>
      <c r="O302">
        <v>3909</v>
      </c>
      <c r="P302">
        <v>1681045</v>
      </c>
      <c r="Q302">
        <v>26.84</v>
      </c>
      <c r="R302">
        <v>39563471</v>
      </c>
      <c r="S302">
        <v>8264197</v>
      </c>
      <c r="T302">
        <v>25455224</v>
      </c>
      <c r="U302">
        <v>15.13</v>
      </c>
      <c r="V302">
        <v>1</v>
      </c>
      <c r="W302">
        <v>4943</v>
      </c>
      <c r="X302">
        <v>4.55</v>
      </c>
      <c r="Y302">
        <v>60.2</v>
      </c>
    </row>
    <row r="303" spans="1:25" x14ac:dyDescent="0.3">
      <c r="A303" t="s">
        <v>29</v>
      </c>
      <c r="B303" t="s">
        <v>36</v>
      </c>
      <c r="C303" t="s">
        <v>41</v>
      </c>
      <c r="D303" s="1">
        <v>44498</v>
      </c>
      <c r="E303">
        <v>8464443</v>
      </c>
      <c r="F303">
        <v>19924</v>
      </c>
      <c r="G303">
        <v>36.4</v>
      </c>
      <c r="H303">
        <v>38040</v>
      </c>
      <c r="I303">
        <v>653192</v>
      </c>
      <c r="J303">
        <v>43810</v>
      </c>
      <c r="K303">
        <v>4093</v>
      </c>
      <c r="L303">
        <v>1818</v>
      </c>
      <c r="M303">
        <v>849389</v>
      </c>
      <c r="N303">
        <v>62698</v>
      </c>
      <c r="O303">
        <v>8015</v>
      </c>
      <c r="P303">
        <v>223310</v>
      </c>
      <c r="Q303">
        <v>14.9</v>
      </c>
      <c r="R303">
        <v>32429394</v>
      </c>
      <c r="S303">
        <v>17903744</v>
      </c>
      <c r="T303">
        <v>24647661</v>
      </c>
      <c r="U303">
        <v>78.53</v>
      </c>
      <c r="V303">
        <v>5.73</v>
      </c>
      <c r="W303">
        <v>2177</v>
      </c>
      <c r="X303">
        <v>2.67</v>
      </c>
      <c r="Y303">
        <v>66.150000000000006</v>
      </c>
    </row>
    <row r="304" spans="1:25" x14ac:dyDescent="0.3">
      <c r="A304" t="s">
        <v>28</v>
      </c>
      <c r="B304" t="s">
        <v>34</v>
      </c>
      <c r="C304" t="s">
        <v>40</v>
      </c>
      <c r="D304" s="1">
        <v>44499</v>
      </c>
      <c r="E304">
        <v>21944021</v>
      </c>
      <c r="F304">
        <v>18213</v>
      </c>
      <c r="G304">
        <v>30.6</v>
      </c>
      <c r="H304">
        <v>58986</v>
      </c>
      <c r="I304">
        <v>857035</v>
      </c>
      <c r="J304">
        <v>19276</v>
      </c>
      <c r="K304">
        <v>33523</v>
      </c>
      <c r="L304">
        <v>272</v>
      </c>
      <c r="M304">
        <v>166915</v>
      </c>
      <c r="N304">
        <v>340122</v>
      </c>
      <c r="O304">
        <v>3420</v>
      </c>
      <c r="P304">
        <v>808032</v>
      </c>
      <c r="Q304">
        <v>18</v>
      </c>
      <c r="R304">
        <v>5707013</v>
      </c>
      <c r="S304">
        <v>31564198</v>
      </c>
      <c r="T304">
        <v>14160146</v>
      </c>
      <c r="U304">
        <v>12.21</v>
      </c>
      <c r="V304">
        <v>3.42</v>
      </c>
      <c r="W304">
        <v>1651</v>
      </c>
      <c r="X304">
        <v>3.08</v>
      </c>
      <c r="Y304">
        <v>89.88</v>
      </c>
    </row>
    <row r="305" spans="1:25" x14ac:dyDescent="0.3">
      <c r="A305" t="s">
        <v>25</v>
      </c>
      <c r="B305" t="s">
        <v>35</v>
      </c>
      <c r="C305" t="s">
        <v>40</v>
      </c>
      <c r="D305" s="1">
        <v>44500</v>
      </c>
      <c r="E305">
        <v>35251594</v>
      </c>
      <c r="F305">
        <v>7724</v>
      </c>
      <c r="G305">
        <v>18.899999999999999</v>
      </c>
      <c r="H305">
        <v>39762</v>
      </c>
      <c r="I305">
        <v>627787</v>
      </c>
      <c r="J305">
        <v>31923</v>
      </c>
      <c r="K305">
        <v>8759</v>
      </c>
      <c r="L305">
        <v>939</v>
      </c>
      <c r="M305">
        <v>456105</v>
      </c>
      <c r="N305">
        <v>274483</v>
      </c>
      <c r="O305">
        <v>356</v>
      </c>
      <c r="P305">
        <v>1838474</v>
      </c>
      <c r="Q305">
        <v>5.42</v>
      </c>
      <c r="R305">
        <v>24978713</v>
      </c>
      <c r="S305">
        <v>27036032</v>
      </c>
      <c r="T305">
        <v>4308783</v>
      </c>
      <c r="U305">
        <v>18.93</v>
      </c>
      <c r="V305">
        <v>5.57</v>
      </c>
      <c r="W305">
        <v>4667</v>
      </c>
      <c r="X305">
        <v>4.9800000000000004</v>
      </c>
      <c r="Y305">
        <v>78.400000000000006</v>
      </c>
    </row>
    <row r="306" spans="1:25" x14ac:dyDescent="0.3">
      <c r="A306" t="s">
        <v>28</v>
      </c>
      <c r="B306" t="s">
        <v>32</v>
      </c>
      <c r="C306" t="s">
        <v>41</v>
      </c>
      <c r="D306" s="1">
        <v>44501</v>
      </c>
      <c r="E306">
        <v>35100593</v>
      </c>
      <c r="F306">
        <v>17798</v>
      </c>
      <c r="G306">
        <v>36.700000000000003</v>
      </c>
      <c r="H306">
        <v>24600</v>
      </c>
      <c r="I306">
        <v>846457</v>
      </c>
      <c r="J306">
        <v>5534</v>
      </c>
      <c r="K306">
        <v>30793</v>
      </c>
      <c r="L306">
        <v>1836</v>
      </c>
      <c r="M306">
        <v>471966</v>
      </c>
      <c r="N306">
        <v>308866</v>
      </c>
      <c r="O306">
        <v>7485</v>
      </c>
      <c r="P306">
        <v>1830213</v>
      </c>
      <c r="Q306">
        <v>16.23</v>
      </c>
      <c r="R306">
        <v>225648</v>
      </c>
      <c r="S306">
        <v>39126898</v>
      </c>
      <c r="T306">
        <v>11591765</v>
      </c>
      <c r="U306">
        <v>21.15</v>
      </c>
      <c r="V306">
        <v>1.78</v>
      </c>
      <c r="W306">
        <v>1272</v>
      </c>
      <c r="X306">
        <v>1.56</v>
      </c>
      <c r="Y306">
        <v>78.09</v>
      </c>
    </row>
    <row r="307" spans="1:25" x14ac:dyDescent="0.3">
      <c r="A307" t="s">
        <v>26</v>
      </c>
      <c r="B307" t="s">
        <v>34</v>
      </c>
      <c r="C307" t="s">
        <v>40</v>
      </c>
      <c r="D307" s="1">
        <v>44502</v>
      </c>
      <c r="E307">
        <v>5188482</v>
      </c>
      <c r="F307">
        <v>3726</v>
      </c>
      <c r="G307">
        <v>18.399999999999999</v>
      </c>
      <c r="H307">
        <v>20810</v>
      </c>
      <c r="I307">
        <v>752624</v>
      </c>
      <c r="J307">
        <v>26469</v>
      </c>
      <c r="K307">
        <v>17335</v>
      </c>
      <c r="L307">
        <v>1031</v>
      </c>
      <c r="M307">
        <v>140228</v>
      </c>
      <c r="N307">
        <v>46765</v>
      </c>
      <c r="O307">
        <v>3081</v>
      </c>
      <c r="P307">
        <v>500344</v>
      </c>
      <c r="Q307">
        <v>8.24</v>
      </c>
      <c r="R307">
        <v>16370790</v>
      </c>
      <c r="S307">
        <v>5697767</v>
      </c>
      <c r="T307">
        <v>920638</v>
      </c>
      <c r="U307">
        <v>55.69</v>
      </c>
      <c r="V307">
        <v>9.36</v>
      </c>
      <c r="W307">
        <v>4379</v>
      </c>
      <c r="X307">
        <v>1.69</v>
      </c>
      <c r="Y307">
        <v>92.72</v>
      </c>
    </row>
    <row r="308" spans="1:25" x14ac:dyDescent="0.3">
      <c r="A308" t="s">
        <v>25</v>
      </c>
      <c r="B308" t="s">
        <v>33</v>
      </c>
      <c r="C308" t="s">
        <v>38</v>
      </c>
      <c r="D308" s="1">
        <v>44503</v>
      </c>
      <c r="E308">
        <v>42402454</v>
      </c>
      <c r="F308">
        <v>2476</v>
      </c>
      <c r="G308">
        <v>43.2</v>
      </c>
      <c r="H308">
        <v>58204</v>
      </c>
      <c r="I308">
        <v>819749</v>
      </c>
      <c r="J308">
        <v>36074</v>
      </c>
      <c r="K308">
        <v>18690</v>
      </c>
      <c r="L308">
        <v>207</v>
      </c>
      <c r="M308">
        <v>268385</v>
      </c>
      <c r="N308">
        <v>294518</v>
      </c>
      <c r="O308">
        <v>2280</v>
      </c>
      <c r="P308">
        <v>1750033</v>
      </c>
      <c r="Q308">
        <v>21.92</v>
      </c>
      <c r="R308">
        <v>36142711</v>
      </c>
      <c r="S308">
        <v>16422892</v>
      </c>
      <c r="T308">
        <v>18592147</v>
      </c>
      <c r="U308">
        <v>78.709999999999994</v>
      </c>
      <c r="V308">
        <v>9</v>
      </c>
      <c r="W308">
        <v>1892</v>
      </c>
      <c r="X308">
        <v>1</v>
      </c>
      <c r="Y308">
        <v>98.99</v>
      </c>
    </row>
    <row r="309" spans="1:25" x14ac:dyDescent="0.3">
      <c r="A309" t="s">
        <v>26</v>
      </c>
      <c r="B309" t="s">
        <v>36</v>
      </c>
      <c r="C309" t="s">
        <v>39</v>
      </c>
      <c r="D309" s="1">
        <v>44504</v>
      </c>
      <c r="E309">
        <v>48965992</v>
      </c>
      <c r="F309">
        <v>3012</v>
      </c>
      <c r="G309">
        <v>27.8</v>
      </c>
      <c r="H309">
        <v>21085</v>
      </c>
      <c r="I309">
        <v>425632</v>
      </c>
      <c r="J309">
        <v>35670</v>
      </c>
      <c r="K309">
        <v>17333</v>
      </c>
      <c r="L309">
        <v>1937</v>
      </c>
      <c r="M309">
        <v>148233</v>
      </c>
      <c r="N309">
        <v>404735</v>
      </c>
      <c r="O309">
        <v>4131</v>
      </c>
      <c r="P309">
        <v>897366</v>
      </c>
      <c r="Q309">
        <v>24.98</v>
      </c>
      <c r="R309">
        <v>38352054</v>
      </c>
      <c r="S309">
        <v>33529501</v>
      </c>
      <c r="T309">
        <v>2664639</v>
      </c>
      <c r="U309">
        <v>31.43</v>
      </c>
      <c r="V309">
        <v>2.2999999999999998</v>
      </c>
      <c r="W309">
        <v>2341</v>
      </c>
      <c r="X309">
        <v>4.49</v>
      </c>
      <c r="Y309">
        <v>58.13</v>
      </c>
    </row>
    <row r="310" spans="1:25" x14ac:dyDescent="0.3">
      <c r="A310" t="s">
        <v>31</v>
      </c>
      <c r="B310" t="s">
        <v>34</v>
      </c>
      <c r="C310" t="s">
        <v>40</v>
      </c>
      <c r="D310" s="1">
        <v>44505</v>
      </c>
      <c r="E310">
        <v>41038036</v>
      </c>
      <c r="F310">
        <v>909</v>
      </c>
      <c r="G310">
        <v>19.3</v>
      </c>
      <c r="H310">
        <v>47854</v>
      </c>
      <c r="I310">
        <v>174084</v>
      </c>
      <c r="J310">
        <v>32563</v>
      </c>
      <c r="K310">
        <v>22694</v>
      </c>
      <c r="L310">
        <v>1660</v>
      </c>
      <c r="M310">
        <v>884023</v>
      </c>
      <c r="N310">
        <v>370612</v>
      </c>
      <c r="O310">
        <v>5123</v>
      </c>
      <c r="P310">
        <v>1627140</v>
      </c>
      <c r="Q310">
        <v>21.44</v>
      </c>
      <c r="R310">
        <v>23132582</v>
      </c>
      <c r="S310">
        <v>2637023</v>
      </c>
      <c r="T310">
        <v>4795684</v>
      </c>
      <c r="U310">
        <v>8.4700000000000006</v>
      </c>
      <c r="V310">
        <v>3.76</v>
      </c>
      <c r="W310">
        <v>1639</v>
      </c>
      <c r="X310">
        <v>3.75</v>
      </c>
      <c r="Y310">
        <v>10.89</v>
      </c>
    </row>
    <row r="311" spans="1:25" x14ac:dyDescent="0.3">
      <c r="A311" t="s">
        <v>31</v>
      </c>
      <c r="B311" t="s">
        <v>32</v>
      </c>
      <c r="C311" t="s">
        <v>38</v>
      </c>
      <c r="D311" s="1">
        <v>44506</v>
      </c>
      <c r="E311">
        <v>10668293</v>
      </c>
      <c r="F311">
        <v>12098</v>
      </c>
      <c r="G311">
        <v>36.799999999999997</v>
      </c>
      <c r="H311">
        <v>40779</v>
      </c>
      <c r="I311">
        <v>525156</v>
      </c>
      <c r="J311">
        <v>46159</v>
      </c>
      <c r="K311">
        <v>34503</v>
      </c>
      <c r="L311">
        <v>1146</v>
      </c>
      <c r="M311">
        <v>815622</v>
      </c>
      <c r="N311">
        <v>146175</v>
      </c>
      <c r="O311">
        <v>7422</v>
      </c>
      <c r="P311">
        <v>1492909</v>
      </c>
      <c r="Q311">
        <v>21.91</v>
      </c>
      <c r="R311">
        <v>45996275</v>
      </c>
      <c r="S311">
        <v>26559264</v>
      </c>
      <c r="T311">
        <v>17164285</v>
      </c>
      <c r="U311">
        <v>46.45</v>
      </c>
      <c r="V311">
        <v>6.33</v>
      </c>
      <c r="W311">
        <v>2946</v>
      </c>
      <c r="X311">
        <v>0.62</v>
      </c>
      <c r="Y311">
        <v>45.91</v>
      </c>
    </row>
    <row r="312" spans="1:25" x14ac:dyDescent="0.3">
      <c r="A312" t="s">
        <v>25</v>
      </c>
      <c r="B312" t="s">
        <v>33</v>
      </c>
      <c r="C312" t="s">
        <v>37</v>
      </c>
      <c r="D312" s="1">
        <v>44507</v>
      </c>
      <c r="E312">
        <v>33722265</v>
      </c>
      <c r="F312">
        <v>4188</v>
      </c>
      <c r="G312">
        <v>30.7</v>
      </c>
      <c r="H312">
        <v>57207</v>
      </c>
      <c r="I312">
        <v>893017</v>
      </c>
      <c r="J312">
        <v>36486</v>
      </c>
      <c r="K312">
        <v>12223</v>
      </c>
      <c r="L312">
        <v>1056</v>
      </c>
      <c r="M312">
        <v>295477</v>
      </c>
      <c r="N312">
        <v>162038</v>
      </c>
      <c r="O312">
        <v>2787</v>
      </c>
      <c r="P312">
        <v>441187</v>
      </c>
      <c r="Q312">
        <v>15.37</v>
      </c>
      <c r="R312">
        <v>31154957</v>
      </c>
      <c r="S312">
        <v>8837039</v>
      </c>
      <c r="T312">
        <v>18632337</v>
      </c>
      <c r="U312">
        <v>74.81</v>
      </c>
      <c r="V312">
        <v>1.41</v>
      </c>
      <c r="W312">
        <v>4538</v>
      </c>
      <c r="X312">
        <v>4.91</v>
      </c>
      <c r="Y312">
        <v>78.760000000000005</v>
      </c>
    </row>
    <row r="313" spans="1:25" x14ac:dyDescent="0.3">
      <c r="A313" t="s">
        <v>29</v>
      </c>
      <c r="B313" t="s">
        <v>32</v>
      </c>
      <c r="C313" t="s">
        <v>38</v>
      </c>
      <c r="D313" s="1">
        <v>44508</v>
      </c>
      <c r="E313">
        <v>38809051</v>
      </c>
      <c r="F313">
        <v>2474</v>
      </c>
      <c r="G313">
        <v>49.2</v>
      </c>
      <c r="H313">
        <v>34980</v>
      </c>
      <c r="I313">
        <v>462261</v>
      </c>
      <c r="J313">
        <v>21</v>
      </c>
      <c r="K313">
        <v>31841</v>
      </c>
      <c r="L313">
        <v>1536</v>
      </c>
      <c r="M313">
        <v>627354</v>
      </c>
      <c r="N313">
        <v>153160</v>
      </c>
      <c r="O313">
        <v>4209</v>
      </c>
      <c r="P313">
        <v>270072</v>
      </c>
      <c r="Q313">
        <v>21.36</v>
      </c>
      <c r="R313">
        <v>47503983</v>
      </c>
      <c r="S313">
        <v>8787933</v>
      </c>
      <c r="T313">
        <v>718954</v>
      </c>
      <c r="U313">
        <v>22.17</v>
      </c>
      <c r="V313">
        <v>3.87</v>
      </c>
      <c r="W313">
        <v>58</v>
      </c>
      <c r="X313">
        <v>3.68</v>
      </c>
      <c r="Y313">
        <v>2.77</v>
      </c>
    </row>
    <row r="314" spans="1:25" x14ac:dyDescent="0.3">
      <c r="A314" t="s">
        <v>31</v>
      </c>
      <c r="B314" t="s">
        <v>32</v>
      </c>
      <c r="C314" t="s">
        <v>39</v>
      </c>
      <c r="D314" s="1">
        <v>44509</v>
      </c>
      <c r="E314">
        <v>32837259</v>
      </c>
      <c r="F314">
        <v>10459</v>
      </c>
      <c r="G314">
        <v>35.4</v>
      </c>
      <c r="H314">
        <v>57117</v>
      </c>
      <c r="I314">
        <v>677760</v>
      </c>
      <c r="J314">
        <v>34268</v>
      </c>
      <c r="K314">
        <v>42306</v>
      </c>
      <c r="L314">
        <v>203</v>
      </c>
      <c r="M314">
        <v>71740</v>
      </c>
      <c r="N314">
        <v>449210</v>
      </c>
      <c r="O314">
        <v>6540</v>
      </c>
      <c r="P314">
        <v>1006520</v>
      </c>
      <c r="Q314">
        <v>12.68</v>
      </c>
      <c r="R314">
        <v>38485384</v>
      </c>
      <c r="S314">
        <v>39036597</v>
      </c>
      <c r="T314">
        <v>22640486</v>
      </c>
      <c r="U314">
        <v>21.99</v>
      </c>
      <c r="V314">
        <v>2.89</v>
      </c>
      <c r="W314">
        <v>4758</v>
      </c>
      <c r="X314">
        <v>4.2699999999999996</v>
      </c>
      <c r="Y314">
        <v>5.69</v>
      </c>
    </row>
    <row r="315" spans="1:25" x14ac:dyDescent="0.3">
      <c r="A315" t="s">
        <v>28</v>
      </c>
      <c r="B315" t="s">
        <v>33</v>
      </c>
      <c r="C315" t="s">
        <v>38</v>
      </c>
      <c r="D315" s="1">
        <v>44510</v>
      </c>
      <c r="E315">
        <v>6965377</v>
      </c>
      <c r="F315">
        <v>4067</v>
      </c>
      <c r="G315">
        <v>26.8</v>
      </c>
      <c r="H315">
        <v>15141</v>
      </c>
      <c r="I315">
        <v>311414</v>
      </c>
      <c r="J315">
        <v>41802</v>
      </c>
      <c r="K315">
        <v>46940</v>
      </c>
      <c r="L315">
        <v>517</v>
      </c>
      <c r="M315">
        <v>631686</v>
      </c>
      <c r="N315">
        <v>370807</v>
      </c>
      <c r="O315">
        <v>9389</v>
      </c>
      <c r="P315">
        <v>1891317</v>
      </c>
      <c r="Q315">
        <v>19.54</v>
      </c>
      <c r="R315">
        <v>9933326</v>
      </c>
      <c r="S315">
        <v>15473155</v>
      </c>
      <c r="T315">
        <v>14944877</v>
      </c>
      <c r="U315">
        <v>94.72</v>
      </c>
      <c r="V315">
        <v>9.1999999999999993</v>
      </c>
      <c r="W315">
        <v>764</v>
      </c>
      <c r="X315">
        <v>0.34</v>
      </c>
      <c r="Y315">
        <v>6.72</v>
      </c>
    </row>
    <row r="316" spans="1:25" x14ac:dyDescent="0.3">
      <c r="A316" t="s">
        <v>26</v>
      </c>
      <c r="B316" t="s">
        <v>32</v>
      </c>
      <c r="C316" t="s">
        <v>41</v>
      </c>
      <c r="D316" s="1">
        <v>44511</v>
      </c>
      <c r="E316">
        <v>40183871</v>
      </c>
      <c r="F316">
        <v>10501</v>
      </c>
      <c r="G316">
        <v>40.700000000000003</v>
      </c>
      <c r="H316">
        <v>10344</v>
      </c>
      <c r="I316">
        <v>204141</v>
      </c>
      <c r="J316">
        <v>15799</v>
      </c>
      <c r="K316">
        <v>27723</v>
      </c>
      <c r="L316">
        <v>1832</v>
      </c>
      <c r="M316">
        <v>340355</v>
      </c>
      <c r="N316">
        <v>221616</v>
      </c>
      <c r="O316">
        <v>9470</v>
      </c>
      <c r="P316">
        <v>206719</v>
      </c>
      <c r="Q316">
        <v>7.77</v>
      </c>
      <c r="R316">
        <v>17174564</v>
      </c>
      <c r="S316">
        <v>9700566</v>
      </c>
      <c r="T316">
        <v>27443475</v>
      </c>
      <c r="U316">
        <v>95.42</v>
      </c>
      <c r="V316">
        <v>8.6</v>
      </c>
      <c r="W316">
        <v>1977</v>
      </c>
      <c r="X316">
        <v>2.57</v>
      </c>
      <c r="Y316">
        <v>73.099999999999994</v>
      </c>
    </row>
    <row r="317" spans="1:25" x14ac:dyDescent="0.3">
      <c r="A317" t="s">
        <v>31</v>
      </c>
      <c r="B317" t="s">
        <v>33</v>
      </c>
      <c r="C317" t="s">
        <v>39</v>
      </c>
      <c r="D317" s="1">
        <v>44512</v>
      </c>
      <c r="E317">
        <v>43116258</v>
      </c>
      <c r="F317">
        <v>10328</v>
      </c>
      <c r="G317">
        <v>26.7</v>
      </c>
      <c r="H317">
        <v>16896</v>
      </c>
      <c r="I317">
        <v>644703</v>
      </c>
      <c r="J317">
        <v>26336</v>
      </c>
      <c r="K317">
        <v>41631</v>
      </c>
      <c r="L317">
        <v>1974</v>
      </c>
      <c r="M317">
        <v>209804</v>
      </c>
      <c r="N317">
        <v>136846</v>
      </c>
      <c r="O317">
        <v>465</v>
      </c>
      <c r="P317">
        <v>697248</v>
      </c>
      <c r="Q317">
        <v>2.09</v>
      </c>
      <c r="R317">
        <v>6680753</v>
      </c>
      <c r="S317">
        <v>11131318</v>
      </c>
      <c r="T317">
        <v>8863441</v>
      </c>
      <c r="U317">
        <v>99.05</v>
      </c>
      <c r="V317">
        <v>6.01</v>
      </c>
      <c r="W317">
        <v>159</v>
      </c>
      <c r="X317">
        <v>3.52</v>
      </c>
      <c r="Y317">
        <v>50.12</v>
      </c>
    </row>
    <row r="318" spans="1:25" x14ac:dyDescent="0.3">
      <c r="A318" t="s">
        <v>31</v>
      </c>
      <c r="B318" t="s">
        <v>34</v>
      </c>
      <c r="C318" t="s">
        <v>37</v>
      </c>
      <c r="D318" s="1">
        <v>44513</v>
      </c>
      <c r="E318">
        <v>5402059</v>
      </c>
      <c r="F318">
        <v>11046</v>
      </c>
      <c r="G318">
        <v>46.9</v>
      </c>
      <c r="H318">
        <v>30813</v>
      </c>
      <c r="I318">
        <v>444049</v>
      </c>
      <c r="J318">
        <v>3641</v>
      </c>
      <c r="K318">
        <v>7197</v>
      </c>
      <c r="L318">
        <v>516</v>
      </c>
      <c r="M318">
        <v>825955</v>
      </c>
      <c r="N318">
        <v>201710</v>
      </c>
      <c r="O318">
        <v>1487</v>
      </c>
      <c r="P318">
        <v>1799961</v>
      </c>
      <c r="Q318">
        <v>12.4</v>
      </c>
      <c r="R318">
        <v>40936062</v>
      </c>
      <c r="S318">
        <v>25180888</v>
      </c>
      <c r="T318">
        <v>15078997</v>
      </c>
      <c r="U318">
        <v>80.77</v>
      </c>
      <c r="V318">
        <v>5.44</v>
      </c>
      <c r="W318">
        <v>4979</v>
      </c>
      <c r="X318">
        <v>2.76</v>
      </c>
      <c r="Y318">
        <v>36.89</v>
      </c>
    </row>
    <row r="319" spans="1:25" x14ac:dyDescent="0.3">
      <c r="A319" t="s">
        <v>29</v>
      </c>
      <c r="B319" t="s">
        <v>33</v>
      </c>
      <c r="C319" t="s">
        <v>41</v>
      </c>
      <c r="D319" s="1">
        <v>44514</v>
      </c>
      <c r="E319">
        <v>45104238</v>
      </c>
      <c r="F319">
        <v>1184</v>
      </c>
      <c r="G319">
        <v>30</v>
      </c>
      <c r="H319">
        <v>66679</v>
      </c>
      <c r="I319">
        <v>195716</v>
      </c>
      <c r="J319">
        <v>21596</v>
      </c>
      <c r="K319">
        <v>32810</v>
      </c>
      <c r="L319">
        <v>442</v>
      </c>
      <c r="M319">
        <v>827141</v>
      </c>
      <c r="N319">
        <v>355347</v>
      </c>
      <c r="O319">
        <v>4942</v>
      </c>
      <c r="P319">
        <v>1748768</v>
      </c>
      <c r="Q319">
        <v>13.85</v>
      </c>
      <c r="R319">
        <v>39284340</v>
      </c>
      <c r="S319">
        <v>33193168</v>
      </c>
      <c r="T319">
        <v>12398586</v>
      </c>
      <c r="U319">
        <v>18.82</v>
      </c>
      <c r="V319">
        <v>9.34</v>
      </c>
      <c r="W319">
        <v>315</v>
      </c>
      <c r="X319">
        <v>3.37</v>
      </c>
      <c r="Y319">
        <v>10.56</v>
      </c>
    </row>
    <row r="320" spans="1:25" x14ac:dyDescent="0.3">
      <c r="A320" t="s">
        <v>25</v>
      </c>
      <c r="B320" t="s">
        <v>33</v>
      </c>
      <c r="C320" t="s">
        <v>38</v>
      </c>
      <c r="D320" s="1">
        <v>44515</v>
      </c>
      <c r="E320">
        <v>40662344</v>
      </c>
      <c r="F320">
        <v>5169</v>
      </c>
      <c r="G320">
        <v>35.6</v>
      </c>
      <c r="H320">
        <v>11681</v>
      </c>
      <c r="I320">
        <v>605494</v>
      </c>
      <c r="J320">
        <v>32959</v>
      </c>
      <c r="K320">
        <v>32593</v>
      </c>
      <c r="L320">
        <v>1615</v>
      </c>
      <c r="M320">
        <v>356234</v>
      </c>
      <c r="N320">
        <v>66546</v>
      </c>
      <c r="O320">
        <v>4597</v>
      </c>
      <c r="P320">
        <v>117196</v>
      </c>
      <c r="Q320">
        <v>7.69</v>
      </c>
      <c r="R320">
        <v>25664339</v>
      </c>
      <c r="S320">
        <v>20583924</v>
      </c>
      <c r="T320">
        <v>4110891</v>
      </c>
      <c r="U320">
        <v>21.2</v>
      </c>
      <c r="V320">
        <v>9.36</v>
      </c>
      <c r="W320">
        <v>3273</v>
      </c>
      <c r="X320">
        <v>4.1100000000000003</v>
      </c>
      <c r="Y320">
        <v>73.22</v>
      </c>
    </row>
    <row r="321" spans="1:25" x14ac:dyDescent="0.3">
      <c r="A321" t="s">
        <v>25</v>
      </c>
      <c r="B321" t="s">
        <v>36</v>
      </c>
      <c r="C321" t="s">
        <v>39</v>
      </c>
      <c r="D321" s="1">
        <v>44516</v>
      </c>
      <c r="E321">
        <v>39628126</v>
      </c>
      <c r="F321">
        <v>5744</v>
      </c>
      <c r="G321">
        <v>19.600000000000001</v>
      </c>
      <c r="H321">
        <v>4228</v>
      </c>
      <c r="I321">
        <v>332612</v>
      </c>
      <c r="J321">
        <v>13306</v>
      </c>
      <c r="K321">
        <v>47671</v>
      </c>
      <c r="L321">
        <v>1809</v>
      </c>
      <c r="M321">
        <v>873544</v>
      </c>
      <c r="N321">
        <v>29172</v>
      </c>
      <c r="O321">
        <v>4536</v>
      </c>
      <c r="P321">
        <v>1058980</v>
      </c>
      <c r="Q321">
        <v>21.83</v>
      </c>
      <c r="R321">
        <v>18835807</v>
      </c>
      <c r="S321">
        <v>33129934</v>
      </c>
      <c r="T321">
        <v>23045201</v>
      </c>
      <c r="U321">
        <v>34.020000000000003</v>
      </c>
      <c r="V321">
        <v>9.7100000000000009</v>
      </c>
      <c r="W321">
        <v>1004</v>
      </c>
      <c r="X321">
        <v>1.93</v>
      </c>
      <c r="Y321">
        <v>32.1</v>
      </c>
    </row>
    <row r="322" spans="1:25" x14ac:dyDescent="0.3">
      <c r="A322" t="s">
        <v>30</v>
      </c>
      <c r="B322" t="s">
        <v>33</v>
      </c>
      <c r="C322" t="s">
        <v>37</v>
      </c>
      <c r="D322" s="1">
        <v>44517</v>
      </c>
      <c r="E322">
        <v>22505782</v>
      </c>
      <c r="F322">
        <v>4214</v>
      </c>
      <c r="G322">
        <v>31.6</v>
      </c>
      <c r="H322">
        <v>5582</v>
      </c>
      <c r="I322">
        <v>191545</v>
      </c>
      <c r="J322">
        <v>46182</v>
      </c>
      <c r="K322">
        <v>14418</v>
      </c>
      <c r="L322">
        <v>688</v>
      </c>
      <c r="M322">
        <v>81022</v>
      </c>
      <c r="N322">
        <v>33817</v>
      </c>
      <c r="O322">
        <v>325</v>
      </c>
      <c r="P322">
        <v>1476431</v>
      </c>
      <c r="Q322">
        <v>2.21</v>
      </c>
      <c r="R322">
        <v>20777582</v>
      </c>
      <c r="S322">
        <v>25825654</v>
      </c>
      <c r="T322">
        <v>23788607</v>
      </c>
      <c r="U322">
        <v>31.81</v>
      </c>
      <c r="V322">
        <v>1.69</v>
      </c>
      <c r="W322">
        <v>1399</v>
      </c>
      <c r="X322">
        <v>4.26</v>
      </c>
      <c r="Y322">
        <v>26.53</v>
      </c>
    </row>
    <row r="323" spans="1:25" x14ac:dyDescent="0.3">
      <c r="A323" t="s">
        <v>29</v>
      </c>
      <c r="B323" t="s">
        <v>33</v>
      </c>
      <c r="C323" t="s">
        <v>41</v>
      </c>
      <c r="D323" s="1">
        <v>44518</v>
      </c>
      <c r="E323">
        <v>27845255</v>
      </c>
      <c r="F323">
        <v>18780</v>
      </c>
      <c r="G323">
        <v>44.6</v>
      </c>
      <c r="H323">
        <v>12397</v>
      </c>
      <c r="I323">
        <v>964313</v>
      </c>
      <c r="J323">
        <v>8587</v>
      </c>
      <c r="K323">
        <v>22379</v>
      </c>
      <c r="L323">
        <v>849</v>
      </c>
      <c r="M323">
        <v>374298</v>
      </c>
      <c r="N323">
        <v>218517</v>
      </c>
      <c r="O323">
        <v>9957</v>
      </c>
      <c r="P323">
        <v>1783054</v>
      </c>
      <c r="Q323">
        <v>6.68</v>
      </c>
      <c r="R323">
        <v>31794324</v>
      </c>
      <c r="S323">
        <v>26105331</v>
      </c>
      <c r="T323">
        <v>6895481</v>
      </c>
      <c r="U323">
        <v>95.65</v>
      </c>
      <c r="V323">
        <v>2.0299999999999998</v>
      </c>
      <c r="W323">
        <v>1624</v>
      </c>
      <c r="X323">
        <v>0.9</v>
      </c>
      <c r="Y323">
        <v>65.23</v>
      </c>
    </row>
    <row r="324" spans="1:25" x14ac:dyDescent="0.3">
      <c r="A324" t="s">
        <v>28</v>
      </c>
      <c r="B324" t="s">
        <v>34</v>
      </c>
      <c r="C324" t="s">
        <v>37</v>
      </c>
      <c r="D324" s="1">
        <v>44519</v>
      </c>
      <c r="E324">
        <v>17996623</v>
      </c>
      <c r="F324">
        <v>5089</v>
      </c>
      <c r="G324">
        <v>43.8</v>
      </c>
      <c r="H324">
        <v>39799</v>
      </c>
      <c r="I324">
        <v>432544</v>
      </c>
      <c r="J324">
        <v>31359</v>
      </c>
      <c r="K324">
        <v>47938</v>
      </c>
      <c r="L324">
        <v>832</v>
      </c>
      <c r="M324">
        <v>670300</v>
      </c>
      <c r="N324">
        <v>157823</v>
      </c>
      <c r="O324">
        <v>4162</v>
      </c>
      <c r="P324">
        <v>454814</v>
      </c>
      <c r="Q324">
        <v>22.46</v>
      </c>
      <c r="R324">
        <v>33580728</v>
      </c>
      <c r="S324">
        <v>38559836</v>
      </c>
      <c r="T324">
        <v>27148193</v>
      </c>
      <c r="U324">
        <v>78.91</v>
      </c>
      <c r="V324">
        <v>6.93</v>
      </c>
      <c r="W324">
        <v>2273</v>
      </c>
      <c r="X324">
        <v>1.43</v>
      </c>
      <c r="Y324">
        <v>55.9</v>
      </c>
    </row>
    <row r="325" spans="1:25" x14ac:dyDescent="0.3">
      <c r="A325" t="s">
        <v>25</v>
      </c>
      <c r="B325" t="s">
        <v>36</v>
      </c>
      <c r="C325" t="s">
        <v>38</v>
      </c>
      <c r="D325" s="1">
        <v>44520</v>
      </c>
      <c r="E325">
        <v>46358810</v>
      </c>
      <c r="F325">
        <v>14681</v>
      </c>
      <c r="G325">
        <v>25.2</v>
      </c>
      <c r="H325">
        <v>38011</v>
      </c>
      <c r="I325">
        <v>431000</v>
      </c>
      <c r="J325">
        <v>21498</v>
      </c>
      <c r="K325">
        <v>3424</v>
      </c>
      <c r="L325">
        <v>338</v>
      </c>
      <c r="M325">
        <v>119607</v>
      </c>
      <c r="N325">
        <v>379446</v>
      </c>
      <c r="O325">
        <v>303</v>
      </c>
      <c r="P325">
        <v>1687051</v>
      </c>
      <c r="Q325">
        <v>13.11</v>
      </c>
      <c r="R325">
        <v>39805032</v>
      </c>
      <c r="S325">
        <v>25802304</v>
      </c>
      <c r="T325">
        <v>13655894</v>
      </c>
      <c r="U325">
        <v>72.400000000000006</v>
      </c>
      <c r="V325">
        <v>5.64</v>
      </c>
      <c r="W325">
        <v>3881</v>
      </c>
      <c r="X325">
        <v>0.31</v>
      </c>
      <c r="Y325">
        <v>36.24</v>
      </c>
    </row>
    <row r="326" spans="1:25" x14ac:dyDescent="0.3">
      <c r="A326" t="s">
        <v>26</v>
      </c>
      <c r="B326" t="s">
        <v>35</v>
      </c>
      <c r="C326" t="s">
        <v>37</v>
      </c>
      <c r="D326" s="1">
        <v>44521</v>
      </c>
      <c r="E326">
        <v>31957080</v>
      </c>
      <c r="F326">
        <v>10492</v>
      </c>
      <c r="G326">
        <v>25.2</v>
      </c>
      <c r="H326">
        <v>45264</v>
      </c>
      <c r="I326">
        <v>24723</v>
      </c>
      <c r="J326">
        <v>4662</v>
      </c>
      <c r="K326">
        <v>19520</v>
      </c>
      <c r="L326">
        <v>1461</v>
      </c>
      <c r="M326">
        <v>401676</v>
      </c>
      <c r="N326">
        <v>437607</v>
      </c>
      <c r="O326">
        <v>5067</v>
      </c>
      <c r="P326">
        <v>897881</v>
      </c>
      <c r="Q326">
        <v>21.16</v>
      </c>
      <c r="R326">
        <v>15877778</v>
      </c>
      <c r="S326">
        <v>34961728</v>
      </c>
      <c r="T326">
        <v>20438848</v>
      </c>
      <c r="U326">
        <v>18.600000000000001</v>
      </c>
      <c r="V326">
        <v>0.68</v>
      </c>
      <c r="W326">
        <v>3305</v>
      </c>
      <c r="X326">
        <v>1.89</v>
      </c>
      <c r="Y326">
        <v>64.150000000000006</v>
      </c>
    </row>
    <row r="327" spans="1:25" x14ac:dyDescent="0.3">
      <c r="A327" t="s">
        <v>29</v>
      </c>
      <c r="B327" t="s">
        <v>34</v>
      </c>
      <c r="C327" t="s">
        <v>40</v>
      </c>
      <c r="D327" s="1">
        <v>44522</v>
      </c>
      <c r="E327">
        <v>11069315</v>
      </c>
      <c r="F327">
        <v>8302</v>
      </c>
      <c r="G327">
        <v>44.2</v>
      </c>
      <c r="H327">
        <v>43317</v>
      </c>
      <c r="I327">
        <v>848078</v>
      </c>
      <c r="J327">
        <v>37094</v>
      </c>
      <c r="K327">
        <v>12130</v>
      </c>
      <c r="L327">
        <v>1468</v>
      </c>
      <c r="M327">
        <v>22962</v>
      </c>
      <c r="N327">
        <v>384633</v>
      </c>
      <c r="O327">
        <v>5024</v>
      </c>
      <c r="P327">
        <v>1601548</v>
      </c>
      <c r="Q327">
        <v>17.02</v>
      </c>
      <c r="R327">
        <v>44640057</v>
      </c>
      <c r="S327">
        <v>16626577</v>
      </c>
      <c r="T327">
        <v>227894</v>
      </c>
      <c r="U327">
        <v>90.95</v>
      </c>
      <c r="V327">
        <v>1.0900000000000001</v>
      </c>
      <c r="W327">
        <v>1108</v>
      </c>
      <c r="X327">
        <v>1.96</v>
      </c>
      <c r="Y327">
        <v>27.12</v>
      </c>
    </row>
    <row r="328" spans="1:25" x14ac:dyDescent="0.3">
      <c r="A328" t="s">
        <v>31</v>
      </c>
      <c r="B328" t="s">
        <v>34</v>
      </c>
      <c r="C328" t="s">
        <v>41</v>
      </c>
      <c r="D328" s="1">
        <v>44523</v>
      </c>
      <c r="E328">
        <v>10589851</v>
      </c>
      <c r="F328">
        <v>17771</v>
      </c>
      <c r="G328">
        <v>47.8</v>
      </c>
      <c r="H328">
        <v>48914</v>
      </c>
      <c r="I328">
        <v>722615</v>
      </c>
      <c r="J328">
        <v>41833</v>
      </c>
      <c r="K328">
        <v>34321</v>
      </c>
      <c r="L328">
        <v>1159</v>
      </c>
      <c r="M328">
        <v>804753</v>
      </c>
      <c r="N328">
        <v>109625</v>
      </c>
      <c r="O328">
        <v>7715</v>
      </c>
      <c r="P328">
        <v>1642455</v>
      </c>
      <c r="Q328">
        <v>28.52</v>
      </c>
      <c r="R328">
        <v>27992926</v>
      </c>
      <c r="S328">
        <v>5444929</v>
      </c>
      <c r="T328">
        <v>1061449</v>
      </c>
      <c r="U328">
        <v>82.79</v>
      </c>
      <c r="V328">
        <v>8.94</v>
      </c>
      <c r="W328">
        <v>2007</v>
      </c>
      <c r="X328">
        <v>4.05</v>
      </c>
      <c r="Y328">
        <v>79.48</v>
      </c>
    </row>
    <row r="329" spans="1:25" x14ac:dyDescent="0.3">
      <c r="A329" t="s">
        <v>26</v>
      </c>
      <c r="B329" t="s">
        <v>35</v>
      </c>
      <c r="C329" t="s">
        <v>37</v>
      </c>
      <c r="D329" s="1">
        <v>44524</v>
      </c>
      <c r="E329">
        <v>4387008</v>
      </c>
      <c r="F329">
        <v>17618</v>
      </c>
      <c r="G329">
        <v>21.1</v>
      </c>
      <c r="H329">
        <v>46254</v>
      </c>
      <c r="I329">
        <v>525362</v>
      </c>
      <c r="J329">
        <v>27197</v>
      </c>
      <c r="K329">
        <v>33049</v>
      </c>
      <c r="L329">
        <v>386</v>
      </c>
      <c r="M329">
        <v>420974</v>
      </c>
      <c r="N329">
        <v>456666</v>
      </c>
      <c r="O329">
        <v>9632</v>
      </c>
      <c r="P329">
        <v>1431541</v>
      </c>
      <c r="Q329">
        <v>17.93</v>
      </c>
      <c r="R329">
        <v>43593077</v>
      </c>
      <c r="S329">
        <v>33277744</v>
      </c>
      <c r="T329">
        <v>10611572</v>
      </c>
      <c r="U329">
        <v>16.36</v>
      </c>
      <c r="V329">
        <v>8.75</v>
      </c>
      <c r="W329">
        <v>4994</v>
      </c>
      <c r="X329">
        <v>3.3</v>
      </c>
      <c r="Y329">
        <v>22.93</v>
      </c>
    </row>
    <row r="330" spans="1:25" x14ac:dyDescent="0.3">
      <c r="A330" t="s">
        <v>26</v>
      </c>
      <c r="B330" t="s">
        <v>33</v>
      </c>
      <c r="C330" t="s">
        <v>38</v>
      </c>
      <c r="D330" s="1">
        <v>44525</v>
      </c>
      <c r="E330">
        <v>44255415</v>
      </c>
      <c r="F330">
        <v>1601</v>
      </c>
      <c r="G330">
        <v>32.4</v>
      </c>
      <c r="H330">
        <v>41096</v>
      </c>
      <c r="I330">
        <v>780533</v>
      </c>
      <c r="J330">
        <v>20719</v>
      </c>
      <c r="K330">
        <v>5305</v>
      </c>
      <c r="L330">
        <v>1048</v>
      </c>
      <c r="M330">
        <v>93389</v>
      </c>
      <c r="N330">
        <v>213192</v>
      </c>
      <c r="O330">
        <v>8340</v>
      </c>
      <c r="P330">
        <v>734082</v>
      </c>
      <c r="Q330">
        <v>0.45</v>
      </c>
      <c r="R330">
        <v>49347843</v>
      </c>
      <c r="S330">
        <v>31462677</v>
      </c>
      <c r="T330">
        <v>2965632</v>
      </c>
      <c r="U330">
        <v>87.12</v>
      </c>
      <c r="V330">
        <v>3.89</v>
      </c>
      <c r="W330">
        <v>3197</v>
      </c>
      <c r="X330">
        <v>2.2400000000000002</v>
      </c>
      <c r="Y330">
        <v>15.88</v>
      </c>
    </row>
    <row r="331" spans="1:25" x14ac:dyDescent="0.3">
      <c r="A331" t="s">
        <v>31</v>
      </c>
      <c r="B331" t="s">
        <v>32</v>
      </c>
      <c r="C331" t="s">
        <v>38</v>
      </c>
      <c r="D331" s="1">
        <v>44526</v>
      </c>
      <c r="E331">
        <v>46070487</v>
      </c>
      <c r="F331">
        <v>12675</v>
      </c>
      <c r="G331">
        <v>28.8</v>
      </c>
      <c r="H331">
        <v>54785</v>
      </c>
      <c r="I331">
        <v>289642</v>
      </c>
      <c r="J331">
        <v>24665</v>
      </c>
      <c r="K331">
        <v>20470</v>
      </c>
      <c r="L331">
        <v>505</v>
      </c>
      <c r="M331">
        <v>89452</v>
      </c>
      <c r="N331">
        <v>4746</v>
      </c>
      <c r="O331">
        <v>2631</v>
      </c>
      <c r="P331">
        <v>265826</v>
      </c>
      <c r="Q331">
        <v>10.59</v>
      </c>
      <c r="R331">
        <v>6791466</v>
      </c>
      <c r="S331">
        <v>9274965</v>
      </c>
      <c r="T331">
        <v>29323519</v>
      </c>
      <c r="U331">
        <v>27.22</v>
      </c>
      <c r="V331">
        <v>8.9600000000000009</v>
      </c>
      <c r="W331">
        <v>2569</v>
      </c>
      <c r="X331">
        <v>3.3</v>
      </c>
      <c r="Y331">
        <v>78.239999999999995</v>
      </c>
    </row>
    <row r="332" spans="1:25" x14ac:dyDescent="0.3">
      <c r="A332" t="s">
        <v>29</v>
      </c>
      <c r="B332" t="s">
        <v>36</v>
      </c>
      <c r="C332" t="s">
        <v>37</v>
      </c>
      <c r="D332" s="1">
        <v>44527</v>
      </c>
      <c r="E332">
        <v>40779707</v>
      </c>
      <c r="F332">
        <v>1679</v>
      </c>
      <c r="G332">
        <v>45.9</v>
      </c>
      <c r="H332">
        <v>53344</v>
      </c>
      <c r="I332">
        <v>721882</v>
      </c>
      <c r="J332">
        <v>43239</v>
      </c>
      <c r="K332">
        <v>14973</v>
      </c>
      <c r="L332">
        <v>1348</v>
      </c>
      <c r="M332">
        <v>718384</v>
      </c>
      <c r="N332">
        <v>301957</v>
      </c>
      <c r="O332">
        <v>6391</v>
      </c>
      <c r="P332">
        <v>1160762</v>
      </c>
      <c r="Q332">
        <v>4.29</v>
      </c>
      <c r="R332">
        <v>16876290</v>
      </c>
      <c r="S332">
        <v>34925460</v>
      </c>
      <c r="T332">
        <v>27810725</v>
      </c>
      <c r="U332">
        <v>8.09</v>
      </c>
      <c r="V332">
        <v>6.14</v>
      </c>
      <c r="W332">
        <v>3703</v>
      </c>
      <c r="X332">
        <v>0.36</v>
      </c>
      <c r="Y332">
        <v>70.790000000000006</v>
      </c>
    </row>
    <row r="333" spans="1:25" x14ac:dyDescent="0.3">
      <c r="A333" t="s">
        <v>31</v>
      </c>
      <c r="B333" t="s">
        <v>32</v>
      </c>
      <c r="C333" t="s">
        <v>38</v>
      </c>
      <c r="D333" s="1">
        <v>44528</v>
      </c>
      <c r="E333">
        <v>37670084</v>
      </c>
      <c r="F333">
        <v>17960</v>
      </c>
      <c r="G333">
        <v>20.7</v>
      </c>
      <c r="H333">
        <v>69546</v>
      </c>
      <c r="I333">
        <v>622169</v>
      </c>
      <c r="J333">
        <v>25032</v>
      </c>
      <c r="K333">
        <v>11590</v>
      </c>
      <c r="L333">
        <v>1718</v>
      </c>
      <c r="M333">
        <v>415831</v>
      </c>
      <c r="N333">
        <v>330180</v>
      </c>
      <c r="O333">
        <v>8287</v>
      </c>
      <c r="P333">
        <v>768469</v>
      </c>
      <c r="Q333">
        <v>27.74</v>
      </c>
      <c r="R333">
        <v>523136</v>
      </c>
      <c r="S333">
        <v>32706654</v>
      </c>
      <c r="T333">
        <v>10899686</v>
      </c>
      <c r="U333">
        <v>65.680000000000007</v>
      </c>
      <c r="V333">
        <v>8.16</v>
      </c>
      <c r="W333">
        <v>2620</v>
      </c>
      <c r="X333">
        <v>0.98</v>
      </c>
      <c r="Y333">
        <v>18.260000000000002</v>
      </c>
    </row>
    <row r="334" spans="1:25" x14ac:dyDescent="0.3">
      <c r="A334" t="s">
        <v>30</v>
      </c>
      <c r="B334" t="s">
        <v>35</v>
      </c>
      <c r="C334" t="s">
        <v>39</v>
      </c>
      <c r="D334" s="1">
        <v>44529</v>
      </c>
      <c r="E334">
        <v>22470950</v>
      </c>
      <c r="F334">
        <v>1411</v>
      </c>
      <c r="G334">
        <v>24.8</v>
      </c>
      <c r="H334">
        <v>66603</v>
      </c>
      <c r="I334">
        <v>414757</v>
      </c>
      <c r="J334">
        <v>12641</v>
      </c>
      <c r="K334">
        <v>22296</v>
      </c>
      <c r="L334">
        <v>679</v>
      </c>
      <c r="M334">
        <v>702293</v>
      </c>
      <c r="N334">
        <v>175503</v>
      </c>
      <c r="O334">
        <v>2369</v>
      </c>
      <c r="P334">
        <v>1595696</v>
      </c>
      <c r="Q334">
        <v>3.12</v>
      </c>
      <c r="R334">
        <v>47606251</v>
      </c>
      <c r="S334">
        <v>17233651</v>
      </c>
      <c r="T334">
        <v>21974512</v>
      </c>
      <c r="U334">
        <v>65.38</v>
      </c>
      <c r="V334">
        <v>4.5599999999999996</v>
      </c>
      <c r="W334">
        <v>2977</v>
      </c>
      <c r="X334">
        <v>3.17</v>
      </c>
      <c r="Y334">
        <v>11.62</v>
      </c>
    </row>
    <row r="335" spans="1:25" x14ac:dyDescent="0.3">
      <c r="A335" t="s">
        <v>26</v>
      </c>
      <c r="B335" t="s">
        <v>34</v>
      </c>
      <c r="C335" t="s">
        <v>39</v>
      </c>
      <c r="D335" s="1">
        <v>44530</v>
      </c>
      <c r="E335">
        <v>8957411</v>
      </c>
      <c r="F335">
        <v>4420</v>
      </c>
      <c r="G335">
        <v>42.1</v>
      </c>
      <c r="H335">
        <v>29412</v>
      </c>
      <c r="I335">
        <v>571217</v>
      </c>
      <c r="J335">
        <v>41964</v>
      </c>
      <c r="K335">
        <v>27338</v>
      </c>
      <c r="L335">
        <v>1361</v>
      </c>
      <c r="M335">
        <v>222076</v>
      </c>
      <c r="N335">
        <v>284429</v>
      </c>
      <c r="O335">
        <v>528</v>
      </c>
      <c r="P335">
        <v>1590861</v>
      </c>
      <c r="Q335">
        <v>11.63</v>
      </c>
      <c r="R335">
        <v>2778550</v>
      </c>
      <c r="S335">
        <v>6816874</v>
      </c>
      <c r="T335">
        <v>12596360</v>
      </c>
      <c r="U335">
        <v>9.49</v>
      </c>
      <c r="V335">
        <v>1.58</v>
      </c>
      <c r="W335">
        <v>3937</v>
      </c>
      <c r="X335">
        <v>3.24</v>
      </c>
      <c r="Y335">
        <v>83.84</v>
      </c>
    </row>
    <row r="336" spans="1:25" x14ac:dyDescent="0.3">
      <c r="A336" t="s">
        <v>27</v>
      </c>
      <c r="B336" t="s">
        <v>34</v>
      </c>
      <c r="C336" t="s">
        <v>39</v>
      </c>
      <c r="D336" s="1">
        <v>44531</v>
      </c>
      <c r="E336">
        <v>9637344</v>
      </c>
      <c r="F336">
        <v>5333</v>
      </c>
      <c r="G336">
        <v>19.600000000000001</v>
      </c>
      <c r="H336">
        <v>52658</v>
      </c>
      <c r="I336">
        <v>124199</v>
      </c>
      <c r="J336">
        <v>30028</v>
      </c>
      <c r="K336">
        <v>19103</v>
      </c>
      <c r="L336">
        <v>689</v>
      </c>
      <c r="M336">
        <v>744181</v>
      </c>
      <c r="N336">
        <v>346507</v>
      </c>
      <c r="O336">
        <v>4675</v>
      </c>
      <c r="P336">
        <v>1346360</v>
      </c>
      <c r="Q336">
        <v>6.78</v>
      </c>
      <c r="R336">
        <v>27823886</v>
      </c>
      <c r="S336">
        <v>538359</v>
      </c>
      <c r="T336">
        <v>14170974</v>
      </c>
      <c r="U336">
        <v>31.89</v>
      </c>
      <c r="V336">
        <v>4.62</v>
      </c>
      <c r="W336">
        <v>937</v>
      </c>
      <c r="X336">
        <v>3.89</v>
      </c>
      <c r="Y336">
        <v>77.66</v>
      </c>
    </row>
    <row r="337" spans="1:25" x14ac:dyDescent="0.3">
      <c r="A337" t="s">
        <v>27</v>
      </c>
      <c r="B337" t="s">
        <v>36</v>
      </c>
      <c r="C337" t="s">
        <v>40</v>
      </c>
      <c r="D337" s="1">
        <v>44532</v>
      </c>
      <c r="E337">
        <v>39775054</v>
      </c>
      <c r="F337">
        <v>7660</v>
      </c>
      <c r="G337">
        <v>33.799999999999997</v>
      </c>
      <c r="H337">
        <v>50549</v>
      </c>
      <c r="I337">
        <v>232525</v>
      </c>
      <c r="J337">
        <v>45494</v>
      </c>
      <c r="K337">
        <v>21615</v>
      </c>
      <c r="L337">
        <v>884</v>
      </c>
      <c r="M337">
        <v>498649</v>
      </c>
      <c r="N337">
        <v>229828</v>
      </c>
      <c r="O337">
        <v>1663</v>
      </c>
      <c r="P337">
        <v>1519674</v>
      </c>
      <c r="Q337">
        <v>25.4</v>
      </c>
      <c r="R337">
        <v>18794580</v>
      </c>
      <c r="S337">
        <v>27635360</v>
      </c>
      <c r="T337">
        <v>11083206</v>
      </c>
      <c r="U337">
        <v>99.28</v>
      </c>
      <c r="V337">
        <v>4.84</v>
      </c>
      <c r="W337">
        <v>794</v>
      </c>
      <c r="X337">
        <v>2.0699999999999998</v>
      </c>
      <c r="Y337">
        <v>32.729999999999997</v>
      </c>
    </row>
    <row r="338" spans="1:25" x14ac:dyDescent="0.3">
      <c r="A338" t="s">
        <v>28</v>
      </c>
      <c r="B338" t="s">
        <v>34</v>
      </c>
      <c r="C338" t="s">
        <v>37</v>
      </c>
      <c r="D338" s="1">
        <v>44533</v>
      </c>
      <c r="E338">
        <v>42688444</v>
      </c>
      <c r="F338">
        <v>10608</v>
      </c>
      <c r="G338">
        <v>32.1</v>
      </c>
      <c r="H338">
        <v>12549</v>
      </c>
      <c r="I338">
        <v>289172</v>
      </c>
      <c r="J338">
        <v>15651</v>
      </c>
      <c r="K338">
        <v>45375</v>
      </c>
      <c r="L338">
        <v>1118</v>
      </c>
      <c r="M338">
        <v>866296</v>
      </c>
      <c r="N338">
        <v>52207</v>
      </c>
      <c r="O338">
        <v>3364</v>
      </c>
      <c r="P338">
        <v>1090067</v>
      </c>
      <c r="Q338">
        <v>9.26</v>
      </c>
      <c r="R338">
        <v>49424045</v>
      </c>
      <c r="S338">
        <v>13109318</v>
      </c>
      <c r="T338">
        <v>8888208</v>
      </c>
      <c r="U338">
        <v>67.84</v>
      </c>
      <c r="V338">
        <v>5.73</v>
      </c>
      <c r="W338">
        <v>3564</v>
      </c>
      <c r="X338">
        <v>3.64</v>
      </c>
      <c r="Y338">
        <v>65.819999999999993</v>
      </c>
    </row>
    <row r="339" spans="1:25" x14ac:dyDescent="0.3">
      <c r="A339" t="s">
        <v>25</v>
      </c>
      <c r="B339" t="s">
        <v>34</v>
      </c>
      <c r="C339" t="s">
        <v>40</v>
      </c>
      <c r="D339" s="1">
        <v>44534</v>
      </c>
      <c r="E339">
        <v>7433705</v>
      </c>
      <c r="F339">
        <v>14974</v>
      </c>
      <c r="G339">
        <v>28.7</v>
      </c>
      <c r="H339">
        <v>26739</v>
      </c>
      <c r="I339">
        <v>30545</v>
      </c>
      <c r="J339">
        <v>8536</v>
      </c>
      <c r="K339">
        <v>44823</v>
      </c>
      <c r="L339">
        <v>1568</v>
      </c>
      <c r="M339">
        <v>857009</v>
      </c>
      <c r="N339">
        <v>244965</v>
      </c>
      <c r="O339">
        <v>2341</v>
      </c>
      <c r="P339">
        <v>1112619</v>
      </c>
      <c r="Q339">
        <v>29.76</v>
      </c>
      <c r="R339">
        <v>44883001</v>
      </c>
      <c r="S339">
        <v>33161879</v>
      </c>
      <c r="T339">
        <v>11995490</v>
      </c>
      <c r="U339">
        <v>73.010000000000005</v>
      </c>
      <c r="V339">
        <v>1.5</v>
      </c>
      <c r="W339">
        <v>2980</v>
      </c>
      <c r="X339">
        <v>3.45</v>
      </c>
      <c r="Y339">
        <v>12.42</v>
      </c>
    </row>
    <row r="340" spans="1:25" x14ac:dyDescent="0.3">
      <c r="A340" t="s">
        <v>31</v>
      </c>
      <c r="B340" t="s">
        <v>36</v>
      </c>
      <c r="C340" t="s">
        <v>38</v>
      </c>
      <c r="D340" s="1">
        <v>44535</v>
      </c>
      <c r="E340">
        <v>22822619</v>
      </c>
      <c r="F340">
        <v>14889</v>
      </c>
      <c r="G340">
        <v>30.6</v>
      </c>
      <c r="H340">
        <v>22209</v>
      </c>
      <c r="I340">
        <v>604857</v>
      </c>
      <c r="J340">
        <v>45712</v>
      </c>
      <c r="K340">
        <v>46381</v>
      </c>
      <c r="L340">
        <v>622</v>
      </c>
      <c r="M340">
        <v>303288</v>
      </c>
      <c r="N340">
        <v>459870</v>
      </c>
      <c r="O340">
        <v>6656</v>
      </c>
      <c r="P340">
        <v>899607</v>
      </c>
      <c r="Q340">
        <v>1.1599999999999999</v>
      </c>
      <c r="R340">
        <v>21054430</v>
      </c>
      <c r="S340">
        <v>36762568</v>
      </c>
      <c r="T340">
        <v>26134127</v>
      </c>
      <c r="U340">
        <v>21.29</v>
      </c>
      <c r="V340">
        <v>9.92</v>
      </c>
      <c r="W340">
        <v>2729</v>
      </c>
      <c r="X340">
        <v>4.82</v>
      </c>
      <c r="Y340">
        <v>50.7</v>
      </c>
    </row>
    <row r="341" spans="1:25" x14ac:dyDescent="0.3">
      <c r="A341" t="s">
        <v>31</v>
      </c>
      <c r="B341" t="s">
        <v>36</v>
      </c>
      <c r="C341" t="s">
        <v>40</v>
      </c>
      <c r="D341" s="1">
        <v>44536</v>
      </c>
      <c r="E341">
        <v>17294513</v>
      </c>
      <c r="F341">
        <v>11999</v>
      </c>
      <c r="G341">
        <v>35</v>
      </c>
      <c r="H341">
        <v>16116</v>
      </c>
      <c r="I341">
        <v>32673</v>
      </c>
      <c r="J341">
        <v>6273</v>
      </c>
      <c r="K341">
        <v>42715</v>
      </c>
      <c r="L341">
        <v>1169</v>
      </c>
      <c r="M341">
        <v>325287</v>
      </c>
      <c r="N341">
        <v>279807</v>
      </c>
      <c r="O341">
        <v>4905</v>
      </c>
      <c r="P341">
        <v>1178144</v>
      </c>
      <c r="Q341">
        <v>3.85</v>
      </c>
      <c r="R341">
        <v>26395334</v>
      </c>
      <c r="S341">
        <v>32062839</v>
      </c>
      <c r="T341">
        <v>27233764</v>
      </c>
      <c r="U341">
        <v>7.88</v>
      </c>
      <c r="V341">
        <v>2.82</v>
      </c>
      <c r="W341">
        <v>225</v>
      </c>
      <c r="X341">
        <v>1.1499999999999999</v>
      </c>
      <c r="Y341">
        <v>1.87</v>
      </c>
    </row>
    <row r="342" spans="1:25" x14ac:dyDescent="0.3">
      <c r="A342" t="s">
        <v>28</v>
      </c>
      <c r="B342" t="s">
        <v>35</v>
      </c>
      <c r="C342" t="s">
        <v>38</v>
      </c>
      <c r="D342" s="1">
        <v>44537</v>
      </c>
      <c r="E342">
        <v>29320898</v>
      </c>
      <c r="F342">
        <v>10676</v>
      </c>
      <c r="G342">
        <v>23.2</v>
      </c>
      <c r="H342">
        <v>21045</v>
      </c>
      <c r="I342">
        <v>425190</v>
      </c>
      <c r="J342">
        <v>6284</v>
      </c>
      <c r="K342">
        <v>47608</v>
      </c>
      <c r="L342">
        <v>892</v>
      </c>
      <c r="M342">
        <v>275955</v>
      </c>
      <c r="N342">
        <v>70829</v>
      </c>
      <c r="O342">
        <v>8884</v>
      </c>
      <c r="P342">
        <v>1425970</v>
      </c>
      <c r="Q342">
        <v>6.74</v>
      </c>
      <c r="R342">
        <v>23449808</v>
      </c>
      <c r="S342">
        <v>24934767</v>
      </c>
      <c r="T342">
        <v>28536627</v>
      </c>
      <c r="U342">
        <v>27.69</v>
      </c>
      <c r="V342">
        <v>2.39</v>
      </c>
      <c r="W342">
        <v>615</v>
      </c>
      <c r="X342">
        <v>2.8</v>
      </c>
      <c r="Y342">
        <v>39.159999999999997</v>
      </c>
    </row>
    <row r="343" spans="1:25" x14ac:dyDescent="0.3">
      <c r="A343" t="s">
        <v>28</v>
      </c>
      <c r="B343" t="s">
        <v>34</v>
      </c>
      <c r="C343" t="s">
        <v>38</v>
      </c>
      <c r="D343" s="1">
        <v>44538</v>
      </c>
      <c r="E343">
        <v>47205646</v>
      </c>
      <c r="F343">
        <v>2043</v>
      </c>
      <c r="G343">
        <v>36.299999999999997</v>
      </c>
      <c r="H343">
        <v>27327</v>
      </c>
      <c r="I343">
        <v>453115</v>
      </c>
      <c r="J343">
        <v>25692</v>
      </c>
      <c r="K343">
        <v>6732</v>
      </c>
      <c r="L343">
        <v>952</v>
      </c>
      <c r="M343">
        <v>254584</v>
      </c>
      <c r="N343">
        <v>277945</v>
      </c>
      <c r="O343">
        <v>9143</v>
      </c>
      <c r="P343">
        <v>1646589</v>
      </c>
      <c r="Q343">
        <v>24.33</v>
      </c>
      <c r="R343">
        <v>38262007</v>
      </c>
      <c r="S343">
        <v>14768178</v>
      </c>
      <c r="T343">
        <v>6989823</v>
      </c>
      <c r="U343">
        <v>24.89</v>
      </c>
      <c r="V343">
        <v>5.5</v>
      </c>
      <c r="W343">
        <v>3267</v>
      </c>
      <c r="X343">
        <v>3.05</v>
      </c>
      <c r="Y343">
        <v>7.48</v>
      </c>
    </row>
    <row r="344" spans="1:25" x14ac:dyDescent="0.3">
      <c r="A344" t="s">
        <v>28</v>
      </c>
      <c r="B344" t="s">
        <v>34</v>
      </c>
      <c r="C344" t="s">
        <v>41</v>
      </c>
      <c r="D344" s="1">
        <v>44539</v>
      </c>
      <c r="E344">
        <v>40064766</v>
      </c>
      <c r="F344">
        <v>919</v>
      </c>
      <c r="G344">
        <v>43.8</v>
      </c>
      <c r="H344">
        <v>36709</v>
      </c>
      <c r="I344">
        <v>417313</v>
      </c>
      <c r="J344">
        <v>8817</v>
      </c>
      <c r="K344">
        <v>40979</v>
      </c>
      <c r="L344">
        <v>1254</v>
      </c>
      <c r="M344">
        <v>129966</v>
      </c>
      <c r="N344">
        <v>200244</v>
      </c>
      <c r="O344">
        <v>5950</v>
      </c>
      <c r="P344">
        <v>129131</v>
      </c>
      <c r="Q344">
        <v>26.36</v>
      </c>
      <c r="R344">
        <v>29865170</v>
      </c>
      <c r="S344">
        <v>23590030</v>
      </c>
      <c r="T344">
        <v>12648382</v>
      </c>
      <c r="U344">
        <v>23.45</v>
      </c>
      <c r="V344">
        <v>5.6</v>
      </c>
      <c r="W344">
        <v>4407</v>
      </c>
      <c r="X344">
        <v>4.99</v>
      </c>
      <c r="Y344">
        <v>47.51</v>
      </c>
    </row>
    <row r="345" spans="1:25" x14ac:dyDescent="0.3">
      <c r="A345" t="s">
        <v>26</v>
      </c>
      <c r="B345" t="s">
        <v>35</v>
      </c>
      <c r="C345" t="s">
        <v>39</v>
      </c>
      <c r="D345" s="1">
        <v>44540</v>
      </c>
      <c r="E345">
        <v>45469434</v>
      </c>
      <c r="F345">
        <v>1064</v>
      </c>
      <c r="G345">
        <v>42.3</v>
      </c>
      <c r="H345">
        <v>44617</v>
      </c>
      <c r="I345">
        <v>889943</v>
      </c>
      <c r="J345">
        <v>28955</v>
      </c>
      <c r="K345">
        <v>36922</v>
      </c>
      <c r="L345">
        <v>783</v>
      </c>
      <c r="M345">
        <v>31031</v>
      </c>
      <c r="N345">
        <v>441533</v>
      </c>
      <c r="O345">
        <v>1360</v>
      </c>
      <c r="P345">
        <v>1095096</v>
      </c>
      <c r="Q345">
        <v>2.14</v>
      </c>
      <c r="R345">
        <v>23232550</v>
      </c>
      <c r="S345">
        <v>21841395</v>
      </c>
      <c r="T345">
        <v>1593603</v>
      </c>
      <c r="U345">
        <v>19.28</v>
      </c>
      <c r="V345">
        <v>4.68</v>
      </c>
      <c r="W345">
        <v>4676</v>
      </c>
      <c r="X345">
        <v>1.0900000000000001</v>
      </c>
      <c r="Y345">
        <v>42.17</v>
      </c>
    </row>
    <row r="346" spans="1:25" x14ac:dyDescent="0.3">
      <c r="A346" t="s">
        <v>30</v>
      </c>
      <c r="B346" t="s">
        <v>33</v>
      </c>
      <c r="C346" t="s">
        <v>38</v>
      </c>
      <c r="D346" s="1">
        <v>44541</v>
      </c>
      <c r="E346">
        <v>15012253</v>
      </c>
      <c r="F346">
        <v>10153</v>
      </c>
      <c r="G346">
        <v>22.9</v>
      </c>
      <c r="H346">
        <v>61139</v>
      </c>
      <c r="I346">
        <v>356288</v>
      </c>
      <c r="J346">
        <v>26555</v>
      </c>
      <c r="K346">
        <v>38384</v>
      </c>
      <c r="L346">
        <v>1871</v>
      </c>
      <c r="M346">
        <v>15088</v>
      </c>
      <c r="N346">
        <v>437926</v>
      </c>
      <c r="O346">
        <v>5127</v>
      </c>
      <c r="P346">
        <v>326063</v>
      </c>
      <c r="Q346">
        <v>0.97</v>
      </c>
      <c r="R346">
        <v>23741691</v>
      </c>
      <c r="S346">
        <v>5882843</v>
      </c>
      <c r="T346">
        <v>24987734</v>
      </c>
      <c r="U346">
        <v>57.48</v>
      </c>
      <c r="V346">
        <v>7.83</v>
      </c>
      <c r="W346">
        <v>1444</v>
      </c>
      <c r="X346">
        <v>2.66</v>
      </c>
      <c r="Y346">
        <v>44.44</v>
      </c>
    </row>
    <row r="347" spans="1:25" x14ac:dyDescent="0.3">
      <c r="A347" t="s">
        <v>31</v>
      </c>
      <c r="B347" t="s">
        <v>33</v>
      </c>
      <c r="C347" t="s">
        <v>41</v>
      </c>
      <c r="D347" s="1">
        <v>44542</v>
      </c>
      <c r="E347">
        <v>10115754</v>
      </c>
      <c r="F347">
        <v>17036</v>
      </c>
      <c r="G347">
        <v>22.8</v>
      </c>
      <c r="H347">
        <v>27905</v>
      </c>
      <c r="I347">
        <v>327968</v>
      </c>
      <c r="J347">
        <v>20378</v>
      </c>
      <c r="K347">
        <v>6776</v>
      </c>
      <c r="L347">
        <v>494</v>
      </c>
      <c r="M347">
        <v>836348</v>
      </c>
      <c r="N347">
        <v>215594</v>
      </c>
      <c r="O347">
        <v>5562</v>
      </c>
      <c r="P347">
        <v>635157</v>
      </c>
      <c r="Q347">
        <v>22.34</v>
      </c>
      <c r="R347">
        <v>1031810</v>
      </c>
      <c r="S347">
        <v>17759423</v>
      </c>
      <c r="T347">
        <v>18146122</v>
      </c>
      <c r="U347">
        <v>32.81</v>
      </c>
      <c r="V347">
        <v>5.41</v>
      </c>
      <c r="W347">
        <v>1270</v>
      </c>
      <c r="X347">
        <v>1.8</v>
      </c>
      <c r="Y347">
        <v>4.53</v>
      </c>
    </row>
    <row r="348" spans="1:25" x14ac:dyDescent="0.3">
      <c r="A348" t="s">
        <v>26</v>
      </c>
      <c r="B348" t="s">
        <v>33</v>
      </c>
      <c r="C348" t="s">
        <v>39</v>
      </c>
      <c r="D348" s="1">
        <v>44543</v>
      </c>
      <c r="E348">
        <v>32754832</v>
      </c>
      <c r="F348">
        <v>12063</v>
      </c>
      <c r="G348">
        <v>26.6</v>
      </c>
      <c r="H348">
        <v>65148</v>
      </c>
      <c r="I348">
        <v>24525</v>
      </c>
      <c r="J348">
        <v>41182</v>
      </c>
      <c r="K348">
        <v>49892</v>
      </c>
      <c r="L348">
        <v>1061</v>
      </c>
      <c r="M348">
        <v>143952</v>
      </c>
      <c r="N348">
        <v>495439</v>
      </c>
      <c r="O348">
        <v>8730</v>
      </c>
      <c r="P348">
        <v>589730</v>
      </c>
      <c r="Q348">
        <v>4</v>
      </c>
      <c r="R348">
        <v>47085346</v>
      </c>
      <c r="S348">
        <v>14024437</v>
      </c>
      <c r="T348">
        <v>2123699</v>
      </c>
      <c r="U348">
        <v>82.03</v>
      </c>
      <c r="V348">
        <v>6.29</v>
      </c>
      <c r="W348">
        <v>997</v>
      </c>
      <c r="X348">
        <v>2.68</v>
      </c>
      <c r="Y348">
        <v>36.159999999999997</v>
      </c>
    </row>
    <row r="349" spans="1:25" x14ac:dyDescent="0.3">
      <c r="A349" t="s">
        <v>28</v>
      </c>
      <c r="B349" t="s">
        <v>35</v>
      </c>
      <c r="C349" t="s">
        <v>38</v>
      </c>
      <c r="D349" s="1">
        <v>44544</v>
      </c>
      <c r="E349">
        <v>23029829</v>
      </c>
      <c r="F349">
        <v>740</v>
      </c>
      <c r="G349">
        <v>29.6</v>
      </c>
      <c r="H349">
        <v>43919</v>
      </c>
      <c r="I349">
        <v>583092</v>
      </c>
      <c r="J349">
        <v>17127</v>
      </c>
      <c r="K349">
        <v>15938</v>
      </c>
      <c r="L349">
        <v>1448</v>
      </c>
      <c r="M349">
        <v>698505</v>
      </c>
      <c r="N349">
        <v>252715</v>
      </c>
      <c r="O349">
        <v>9011</v>
      </c>
      <c r="P349">
        <v>1834889</v>
      </c>
      <c r="Q349">
        <v>3.99</v>
      </c>
      <c r="R349">
        <v>11997945</v>
      </c>
      <c r="S349">
        <v>20098669</v>
      </c>
      <c r="T349">
        <v>1920831</v>
      </c>
      <c r="U349">
        <v>18.39</v>
      </c>
      <c r="V349">
        <v>7.38</v>
      </c>
      <c r="W349">
        <v>634</v>
      </c>
      <c r="X349">
        <v>1.24</v>
      </c>
      <c r="Y349">
        <v>75.650000000000006</v>
      </c>
    </row>
    <row r="350" spans="1:25" x14ac:dyDescent="0.3">
      <c r="A350" t="s">
        <v>31</v>
      </c>
      <c r="B350" t="s">
        <v>34</v>
      </c>
      <c r="C350" t="s">
        <v>38</v>
      </c>
      <c r="D350" s="1">
        <v>44545</v>
      </c>
      <c r="E350">
        <v>15057759</v>
      </c>
      <c r="F350">
        <v>16923</v>
      </c>
      <c r="G350">
        <v>31.1</v>
      </c>
      <c r="H350">
        <v>59446</v>
      </c>
      <c r="I350">
        <v>147115</v>
      </c>
      <c r="J350">
        <v>49614</v>
      </c>
      <c r="K350">
        <v>21284</v>
      </c>
      <c r="L350">
        <v>1670</v>
      </c>
      <c r="M350">
        <v>411534</v>
      </c>
      <c r="N350">
        <v>443447</v>
      </c>
      <c r="O350">
        <v>5777</v>
      </c>
      <c r="P350">
        <v>1202418</v>
      </c>
      <c r="Q350">
        <v>0.67</v>
      </c>
      <c r="R350">
        <v>28065720</v>
      </c>
      <c r="S350">
        <v>23946730</v>
      </c>
      <c r="T350">
        <v>15835527</v>
      </c>
      <c r="U350">
        <v>46.46</v>
      </c>
      <c r="V350">
        <v>0.74</v>
      </c>
      <c r="W350">
        <v>2912</v>
      </c>
      <c r="X350">
        <v>0.33</v>
      </c>
      <c r="Y350">
        <v>36.89</v>
      </c>
    </row>
    <row r="351" spans="1:25" x14ac:dyDescent="0.3">
      <c r="A351" t="s">
        <v>26</v>
      </c>
      <c r="B351" t="s">
        <v>35</v>
      </c>
      <c r="C351" t="s">
        <v>40</v>
      </c>
      <c r="D351" s="1">
        <v>44546</v>
      </c>
      <c r="E351">
        <v>22914241</v>
      </c>
      <c r="F351">
        <v>10798</v>
      </c>
      <c r="G351">
        <v>39.799999999999997</v>
      </c>
      <c r="H351">
        <v>53428</v>
      </c>
      <c r="I351">
        <v>567134</v>
      </c>
      <c r="J351">
        <v>17952</v>
      </c>
      <c r="K351">
        <v>34426</v>
      </c>
      <c r="L351">
        <v>1869</v>
      </c>
      <c r="M351">
        <v>162429</v>
      </c>
      <c r="N351">
        <v>128431</v>
      </c>
      <c r="O351">
        <v>3925</v>
      </c>
      <c r="P351">
        <v>368390</v>
      </c>
      <c r="Q351">
        <v>1.49</v>
      </c>
      <c r="R351">
        <v>44828060</v>
      </c>
      <c r="S351">
        <v>17556089</v>
      </c>
      <c r="T351">
        <v>19581159</v>
      </c>
      <c r="U351">
        <v>1.37</v>
      </c>
      <c r="V351">
        <v>5.92</v>
      </c>
      <c r="W351">
        <v>1670</v>
      </c>
      <c r="X351">
        <v>2.91</v>
      </c>
      <c r="Y351">
        <v>71.52</v>
      </c>
    </row>
    <row r="352" spans="1:25" x14ac:dyDescent="0.3">
      <c r="A352" t="s">
        <v>30</v>
      </c>
      <c r="B352" t="s">
        <v>35</v>
      </c>
      <c r="C352" t="s">
        <v>40</v>
      </c>
      <c r="D352" s="1">
        <v>44547</v>
      </c>
      <c r="E352">
        <v>9504471</v>
      </c>
      <c r="F352">
        <v>8074</v>
      </c>
      <c r="G352">
        <v>19.8</v>
      </c>
      <c r="H352">
        <v>48894</v>
      </c>
      <c r="I352">
        <v>78261</v>
      </c>
      <c r="J352">
        <v>11539</v>
      </c>
      <c r="K352">
        <v>20622</v>
      </c>
      <c r="L352">
        <v>746</v>
      </c>
      <c r="M352">
        <v>546499</v>
      </c>
      <c r="N352">
        <v>160582</v>
      </c>
      <c r="O352">
        <v>8463</v>
      </c>
      <c r="P352">
        <v>1752434</v>
      </c>
      <c r="Q352">
        <v>7.91</v>
      </c>
      <c r="R352">
        <v>47999921</v>
      </c>
      <c r="S352">
        <v>17243764</v>
      </c>
      <c r="T352">
        <v>17720196</v>
      </c>
      <c r="U352">
        <v>48.17</v>
      </c>
      <c r="V352">
        <v>8.9</v>
      </c>
      <c r="W352">
        <v>3405</v>
      </c>
      <c r="X352">
        <v>1.75</v>
      </c>
      <c r="Y352">
        <v>36.950000000000003</v>
      </c>
    </row>
    <row r="353" spans="1:25" x14ac:dyDescent="0.3">
      <c r="A353" t="s">
        <v>26</v>
      </c>
      <c r="B353" t="s">
        <v>33</v>
      </c>
      <c r="C353" t="s">
        <v>39</v>
      </c>
      <c r="D353" s="1">
        <v>44548</v>
      </c>
      <c r="E353">
        <v>16223723</v>
      </c>
      <c r="F353">
        <v>16728</v>
      </c>
      <c r="G353">
        <v>19.100000000000001</v>
      </c>
      <c r="H353">
        <v>7447</v>
      </c>
      <c r="I353">
        <v>758600</v>
      </c>
      <c r="J353">
        <v>46761</v>
      </c>
      <c r="K353">
        <v>34908</v>
      </c>
      <c r="L353">
        <v>436</v>
      </c>
      <c r="M353">
        <v>660957</v>
      </c>
      <c r="N353">
        <v>99380</v>
      </c>
      <c r="O353">
        <v>8001</v>
      </c>
      <c r="P353">
        <v>1421407</v>
      </c>
      <c r="Q353">
        <v>1.95</v>
      </c>
      <c r="R353">
        <v>40297917</v>
      </c>
      <c r="S353">
        <v>4518633</v>
      </c>
      <c r="T353">
        <v>23802443</v>
      </c>
      <c r="U353">
        <v>5.58</v>
      </c>
      <c r="V353">
        <v>0.67</v>
      </c>
      <c r="W353">
        <v>2399</v>
      </c>
      <c r="X353">
        <v>0.99</v>
      </c>
      <c r="Y353">
        <v>42.32</v>
      </c>
    </row>
    <row r="354" spans="1:25" x14ac:dyDescent="0.3">
      <c r="A354" t="s">
        <v>30</v>
      </c>
      <c r="B354" t="s">
        <v>32</v>
      </c>
      <c r="C354" t="s">
        <v>38</v>
      </c>
      <c r="D354" s="1">
        <v>44549</v>
      </c>
      <c r="E354">
        <v>4265056</v>
      </c>
      <c r="F354">
        <v>5538</v>
      </c>
      <c r="G354">
        <v>30.5</v>
      </c>
      <c r="H354">
        <v>6499</v>
      </c>
      <c r="I354">
        <v>501827</v>
      </c>
      <c r="J354">
        <v>46219</v>
      </c>
      <c r="K354">
        <v>47170</v>
      </c>
      <c r="L354">
        <v>1854</v>
      </c>
      <c r="M354">
        <v>684253</v>
      </c>
      <c r="N354">
        <v>189887</v>
      </c>
      <c r="O354">
        <v>1028</v>
      </c>
      <c r="P354">
        <v>523485</v>
      </c>
      <c r="Q354">
        <v>11.07</v>
      </c>
      <c r="R354">
        <v>34195507</v>
      </c>
      <c r="S354">
        <v>28783081</v>
      </c>
      <c r="T354">
        <v>17574334</v>
      </c>
      <c r="U354">
        <v>97.77</v>
      </c>
      <c r="V354">
        <v>4.3499999999999996</v>
      </c>
      <c r="W354">
        <v>3241</v>
      </c>
      <c r="X354">
        <v>1.69</v>
      </c>
      <c r="Y354">
        <v>56.39</v>
      </c>
    </row>
    <row r="355" spans="1:25" x14ac:dyDescent="0.3">
      <c r="A355" t="s">
        <v>28</v>
      </c>
      <c r="B355" t="s">
        <v>34</v>
      </c>
      <c r="C355" t="s">
        <v>37</v>
      </c>
      <c r="D355" s="1">
        <v>44550</v>
      </c>
      <c r="E355">
        <v>49931582</v>
      </c>
      <c r="F355">
        <v>11085</v>
      </c>
      <c r="G355">
        <v>40.299999999999997</v>
      </c>
      <c r="H355">
        <v>40041</v>
      </c>
      <c r="I355">
        <v>968731</v>
      </c>
      <c r="J355">
        <v>14692</v>
      </c>
      <c r="K355">
        <v>29057</v>
      </c>
      <c r="L355">
        <v>1391</v>
      </c>
      <c r="M355">
        <v>809008</v>
      </c>
      <c r="N355">
        <v>38765</v>
      </c>
      <c r="O355">
        <v>6018</v>
      </c>
      <c r="P355">
        <v>648735</v>
      </c>
      <c r="Q355">
        <v>24.98</v>
      </c>
      <c r="R355">
        <v>37314933</v>
      </c>
      <c r="S355">
        <v>27566658</v>
      </c>
      <c r="T355">
        <v>12731520</v>
      </c>
      <c r="U355">
        <v>79.06</v>
      </c>
      <c r="V355">
        <v>9.3000000000000007</v>
      </c>
      <c r="W355">
        <v>3257</v>
      </c>
      <c r="X355">
        <v>0.34</v>
      </c>
      <c r="Y355">
        <v>95.07</v>
      </c>
    </row>
    <row r="356" spans="1:25" x14ac:dyDescent="0.3">
      <c r="A356" t="s">
        <v>30</v>
      </c>
      <c r="B356" t="s">
        <v>33</v>
      </c>
      <c r="C356" t="s">
        <v>40</v>
      </c>
      <c r="D356" s="1">
        <v>44551</v>
      </c>
      <c r="E356">
        <v>3825315</v>
      </c>
      <c r="F356">
        <v>19346</v>
      </c>
      <c r="G356">
        <v>24.2</v>
      </c>
      <c r="H356">
        <v>32315</v>
      </c>
      <c r="I356">
        <v>185100</v>
      </c>
      <c r="J356">
        <v>18120</v>
      </c>
      <c r="K356">
        <v>43366</v>
      </c>
      <c r="L356">
        <v>344</v>
      </c>
      <c r="M356">
        <v>346918</v>
      </c>
      <c r="N356">
        <v>278201</v>
      </c>
      <c r="O356">
        <v>1242</v>
      </c>
      <c r="P356">
        <v>1635341</v>
      </c>
      <c r="Q356">
        <v>9.7899999999999991</v>
      </c>
      <c r="R356">
        <v>47887266</v>
      </c>
      <c r="S356">
        <v>2596057</v>
      </c>
      <c r="T356">
        <v>22316302</v>
      </c>
      <c r="U356">
        <v>49.01</v>
      </c>
      <c r="V356">
        <v>3.85</v>
      </c>
      <c r="W356">
        <v>2626</v>
      </c>
      <c r="X356">
        <v>4.76</v>
      </c>
      <c r="Y356">
        <v>10.89</v>
      </c>
    </row>
    <row r="357" spans="1:25" x14ac:dyDescent="0.3">
      <c r="A357" t="s">
        <v>31</v>
      </c>
      <c r="B357" t="s">
        <v>32</v>
      </c>
      <c r="C357" t="s">
        <v>39</v>
      </c>
      <c r="D357" s="1">
        <v>44552</v>
      </c>
      <c r="E357">
        <v>48215952</v>
      </c>
      <c r="F357">
        <v>18307</v>
      </c>
      <c r="G357">
        <v>38.5</v>
      </c>
      <c r="H357">
        <v>2299</v>
      </c>
      <c r="I357">
        <v>955887</v>
      </c>
      <c r="J357">
        <v>13334</v>
      </c>
      <c r="K357">
        <v>37144</v>
      </c>
      <c r="L357">
        <v>1183</v>
      </c>
      <c r="M357">
        <v>320253</v>
      </c>
      <c r="N357">
        <v>441443</v>
      </c>
      <c r="O357">
        <v>9333</v>
      </c>
      <c r="P357">
        <v>525532</v>
      </c>
      <c r="Q357">
        <v>21.84</v>
      </c>
      <c r="R357">
        <v>6999993</v>
      </c>
      <c r="S357">
        <v>28746000</v>
      </c>
      <c r="T357">
        <v>27049048</v>
      </c>
      <c r="U357">
        <v>8.66</v>
      </c>
      <c r="V357">
        <v>4.8600000000000003</v>
      </c>
      <c r="W357">
        <v>581</v>
      </c>
      <c r="X357">
        <v>2.95</v>
      </c>
      <c r="Y357">
        <v>3.29</v>
      </c>
    </row>
    <row r="358" spans="1:25" x14ac:dyDescent="0.3">
      <c r="A358" t="s">
        <v>28</v>
      </c>
      <c r="B358" t="s">
        <v>32</v>
      </c>
      <c r="C358" t="s">
        <v>38</v>
      </c>
      <c r="D358" s="1">
        <v>44553</v>
      </c>
      <c r="E358">
        <v>14567121</v>
      </c>
      <c r="F358">
        <v>12905</v>
      </c>
      <c r="G358">
        <v>26.3</v>
      </c>
      <c r="H358">
        <v>5994</v>
      </c>
      <c r="I358">
        <v>816915</v>
      </c>
      <c r="J358">
        <v>28615</v>
      </c>
      <c r="K358">
        <v>1516</v>
      </c>
      <c r="L358">
        <v>549</v>
      </c>
      <c r="M358">
        <v>685177</v>
      </c>
      <c r="N358">
        <v>456905</v>
      </c>
      <c r="O358">
        <v>8784</v>
      </c>
      <c r="P358">
        <v>951292</v>
      </c>
      <c r="Q358">
        <v>2.82</v>
      </c>
      <c r="R358">
        <v>3143197</v>
      </c>
      <c r="S358">
        <v>23302929</v>
      </c>
      <c r="T358">
        <v>25059793</v>
      </c>
      <c r="U358">
        <v>59.24</v>
      </c>
      <c r="V358">
        <v>9.82</v>
      </c>
      <c r="W358">
        <v>1281</v>
      </c>
      <c r="X358">
        <v>4.09</v>
      </c>
      <c r="Y358">
        <v>60.8</v>
      </c>
    </row>
    <row r="359" spans="1:25" x14ac:dyDescent="0.3">
      <c r="A359" t="s">
        <v>31</v>
      </c>
      <c r="B359" t="s">
        <v>36</v>
      </c>
      <c r="C359" t="s">
        <v>38</v>
      </c>
      <c r="D359" s="1">
        <v>44554</v>
      </c>
      <c r="E359">
        <v>5717092</v>
      </c>
      <c r="F359">
        <v>19692</v>
      </c>
      <c r="G359">
        <v>46.4</v>
      </c>
      <c r="H359">
        <v>8489</v>
      </c>
      <c r="I359">
        <v>8265</v>
      </c>
      <c r="J359">
        <v>7903</v>
      </c>
      <c r="K359">
        <v>15232</v>
      </c>
      <c r="L359">
        <v>1685</v>
      </c>
      <c r="M359">
        <v>498481</v>
      </c>
      <c r="N359">
        <v>308252</v>
      </c>
      <c r="O359">
        <v>7119</v>
      </c>
      <c r="P359">
        <v>1013845</v>
      </c>
      <c r="Q359">
        <v>19.78</v>
      </c>
      <c r="R359">
        <v>32908377</v>
      </c>
      <c r="S359">
        <v>38850418</v>
      </c>
      <c r="T359">
        <v>7633829</v>
      </c>
      <c r="U359">
        <v>75.88</v>
      </c>
      <c r="V359">
        <v>2.39</v>
      </c>
      <c r="W359">
        <v>2043</v>
      </c>
      <c r="X359">
        <v>2.17</v>
      </c>
      <c r="Y359">
        <v>94.91</v>
      </c>
    </row>
    <row r="360" spans="1:25" x14ac:dyDescent="0.3">
      <c r="A360" t="s">
        <v>27</v>
      </c>
      <c r="B360" t="s">
        <v>34</v>
      </c>
      <c r="C360" t="s">
        <v>37</v>
      </c>
      <c r="D360" s="1">
        <v>44555</v>
      </c>
      <c r="E360">
        <v>42319037</v>
      </c>
      <c r="F360">
        <v>2867</v>
      </c>
      <c r="G360">
        <v>46.7</v>
      </c>
      <c r="H360">
        <v>33355</v>
      </c>
      <c r="I360">
        <v>810195</v>
      </c>
      <c r="J360">
        <v>28527</v>
      </c>
      <c r="K360">
        <v>12373</v>
      </c>
      <c r="L360">
        <v>1935</v>
      </c>
      <c r="M360">
        <v>58980</v>
      </c>
      <c r="N360">
        <v>324164</v>
      </c>
      <c r="O360">
        <v>9797</v>
      </c>
      <c r="P360">
        <v>1915461</v>
      </c>
      <c r="Q360">
        <v>9.5</v>
      </c>
      <c r="R360">
        <v>16809862</v>
      </c>
      <c r="S360">
        <v>8240786</v>
      </c>
      <c r="T360">
        <v>20468905</v>
      </c>
      <c r="U360">
        <v>19.07</v>
      </c>
      <c r="V360">
        <v>1.1200000000000001</v>
      </c>
      <c r="W360">
        <v>1747</v>
      </c>
      <c r="X360">
        <v>4.53</v>
      </c>
      <c r="Y360">
        <v>98.97</v>
      </c>
    </row>
    <row r="361" spans="1:25" x14ac:dyDescent="0.3">
      <c r="A361" t="s">
        <v>29</v>
      </c>
      <c r="B361" t="s">
        <v>32</v>
      </c>
      <c r="C361" t="s">
        <v>39</v>
      </c>
      <c r="D361" s="1">
        <v>44556</v>
      </c>
      <c r="E361">
        <v>37875319</v>
      </c>
      <c r="F361">
        <v>4508</v>
      </c>
      <c r="G361">
        <v>27.5</v>
      </c>
      <c r="H361">
        <v>69367</v>
      </c>
      <c r="I361">
        <v>207724</v>
      </c>
      <c r="J361">
        <v>15629</v>
      </c>
      <c r="K361">
        <v>19623</v>
      </c>
      <c r="L361">
        <v>819</v>
      </c>
      <c r="M361">
        <v>793976</v>
      </c>
      <c r="N361">
        <v>259385</v>
      </c>
      <c r="O361">
        <v>4210</v>
      </c>
      <c r="P361">
        <v>451953</v>
      </c>
      <c r="Q361">
        <v>22.49</v>
      </c>
      <c r="R361">
        <v>23582788</v>
      </c>
      <c r="S361">
        <v>5324107</v>
      </c>
      <c r="T361">
        <v>10627199</v>
      </c>
      <c r="U361">
        <v>56.82</v>
      </c>
      <c r="V361">
        <v>8.66</v>
      </c>
      <c r="W361">
        <v>3420</v>
      </c>
      <c r="X361">
        <v>2.4700000000000002</v>
      </c>
      <c r="Y361">
        <v>48.42</v>
      </c>
    </row>
    <row r="362" spans="1:25" x14ac:dyDescent="0.3">
      <c r="A362" t="s">
        <v>30</v>
      </c>
      <c r="B362" t="s">
        <v>33</v>
      </c>
      <c r="C362" t="s">
        <v>38</v>
      </c>
      <c r="D362" s="1">
        <v>44557</v>
      </c>
      <c r="E362">
        <v>23929562</v>
      </c>
      <c r="F362">
        <v>5357</v>
      </c>
      <c r="G362">
        <v>25.4</v>
      </c>
      <c r="H362">
        <v>2996</v>
      </c>
      <c r="I362">
        <v>16733</v>
      </c>
      <c r="J362">
        <v>17740</v>
      </c>
      <c r="K362">
        <v>44573</v>
      </c>
      <c r="L362">
        <v>540</v>
      </c>
      <c r="M362">
        <v>775097</v>
      </c>
      <c r="N362">
        <v>164047</v>
      </c>
      <c r="O362">
        <v>6406</v>
      </c>
      <c r="P362">
        <v>1227137</v>
      </c>
      <c r="Q362">
        <v>4.09</v>
      </c>
      <c r="R362">
        <v>43246833</v>
      </c>
      <c r="S362">
        <v>34000727</v>
      </c>
      <c r="T362">
        <v>11553965</v>
      </c>
      <c r="U362">
        <v>81.42</v>
      </c>
      <c r="V362">
        <v>8.75</v>
      </c>
      <c r="W362">
        <v>1595</v>
      </c>
      <c r="X362">
        <v>2.91</v>
      </c>
      <c r="Y362">
        <v>46.81</v>
      </c>
    </row>
    <row r="363" spans="1:25" x14ac:dyDescent="0.3">
      <c r="A363" t="s">
        <v>29</v>
      </c>
      <c r="B363" t="s">
        <v>36</v>
      </c>
      <c r="C363" t="s">
        <v>40</v>
      </c>
      <c r="D363" s="1">
        <v>44558</v>
      </c>
      <c r="E363">
        <v>3346274</v>
      </c>
      <c r="F363">
        <v>8983</v>
      </c>
      <c r="G363">
        <v>31.2</v>
      </c>
      <c r="H363">
        <v>45387</v>
      </c>
      <c r="I363">
        <v>899628</v>
      </c>
      <c r="J363">
        <v>33782</v>
      </c>
      <c r="K363">
        <v>30638</v>
      </c>
      <c r="L363">
        <v>143</v>
      </c>
      <c r="M363">
        <v>55986</v>
      </c>
      <c r="N363">
        <v>113928</v>
      </c>
      <c r="O363">
        <v>3377</v>
      </c>
      <c r="P363">
        <v>915394</v>
      </c>
      <c r="Q363">
        <v>26.94</v>
      </c>
      <c r="R363">
        <v>32284142</v>
      </c>
      <c r="S363">
        <v>11166148</v>
      </c>
      <c r="T363">
        <v>9033652</v>
      </c>
      <c r="U363">
        <v>76.819999999999993</v>
      </c>
      <c r="V363">
        <v>4.9800000000000004</v>
      </c>
      <c r="W363">
        <v>3215</v>
      </c>
      <c r="X363">
        <v>2.5099999999999998</v>
      </c>
      <c r="Y363">
        <v>64.5</v>
      </c>
    </row>
    <row r="364" spans="1:25" x14ac:dyDescent="0.3">
      <c r="A364" t="s">
        <v>29</v>
      </c>
      <c r="B364" t="s">
        <v>34</v>
      </c>
      <c r="C364" t="s">
        <v>37</v>
      </c>
      <c r="D364" s="1">
        <v>44559</v>
      </c>
      <c r="E364">
        <v>47282538</v>
      </c>
      <c r="F364">
        <v>18475</v>
      </c>
      <c r="G364">
        <v>25.7</v>
      </c>
      <c r="H364">
        <v>4089</v>
      </c>
      <c r="I364">
        <v>616326</v>
      </c>
      <c r="J364">
        <v>26708</v>
      </c>
      <c r="K364">
        <v>42636</v>
      </c>
      <c r="L364">
        <v>587</v>
      </c>
      <c r="M364">
        <v>55662</v>
      </c>
      <c r="N364">
        <v>386096</v>
      </c>
      <c r="O364">
        <v>4071</v>
      </c>
      <c r="P364">
        <v>858735</v>
      </c>
      <c r="Q364">
        <v>7.28</v>
      </c>
      <c r="R364">
        <v>42327422</v>
      </c>
      <c r="S364">
        <v>28877975</v>
      </c>
      <c r="T364">
        <v>24753177</v>
      </c>
      <c r="U364">
        <v>80.3</v>
      </c>
      <c r="V364">
        <v>5.38</v>
      </c>
      <c r="W364">
        <v>1487</v>
      </c>
      <c r="X364">
        <v>3.69</v>
      </c>
      <c r="Y364">
        <v>55.56</v>
      </c>
    </row>
    <row r="365" spans="1:25" x14ac:dyDescent="0.3">
      <c r="A365" t="s">
        <v>30</v>
      </c>
      <c r="B365" t="s">
        <v>35</v>
      </c>
      <c r="C365" t="s">
        <v>39</v>
      </c>
      <c r="D365" s="1">
        <v>44560</v>
      </c>
      <c r="E365">
        <v>46838604</v>
      </c>
      <c r="F365">
        <v>17113</v>
      </c>
      <c r="G365">
        <v>39.5</v>
      </c>
      <c r="H365">
        <v>21659</v>
      </c>
      <c r="I365">
        <v>300564</v>
      </c>
      <c r="J365">
        <v>10860</v>
      </c>
      <c r="K365">
        <v>45394</v>
      </c>
      <c r="L365">
        <v>656</v>
      </c>
      <c r="M365">
        <v>735147</v>
      </c>
      <c r="N365">
        <v>132798</v>
      </c>
      <c r="O365">
        <v>1440</v>
      </c>
      <c r="P365">
        <v>1340110</v>
      </c>
      <c r="Q365">
        <v>10.59</v>
      </c>
      <c r="R365">
        <v>34147379</v>
      </c>
      <c r="S365">
        <v>3229198</v>
      </c>
      <c r="T365">
        <v>5200444</v>
      </c>
      <c r="U365">
        <v>87.93</v>
      </c>
      <c r="V365">
        <v>8.44</v>
      </c>
      <c r="W365">
        <v>420</v>
      </c>
      <c r="X365">
        <v>2.88</v>
      </c>
      <c r="Y365">
        <v>63.41</v>
      </c>
    </row>
    <row r="366" spans="1:25" x14ac:dyDescent="0.3">
      <c r="A366" t="s">
        <v>28</v>
      </c>
      <c r="B366" t="s">
        <v>33</v>
      </c>
      <c r="C366" t="s">
        <v>37</v>
      </c>
      <c r="D366" s="1">
        <v>44561</v>
      </c>
      <c r="E366">
        <v>40042531</v>
      </c>
      <c r="F366">
        <v>10709</v>
      </c>
      <c r="G366">
        <v>44.4</v>
      </c>
      <c r="H366">
        <v>46178</v>
      </c>
      <c r="I366">
        <v>665607</v>
      </c>
      <c r="J366">
        <v>17438</v>
      </c>
      <c r="K366">
        <v>4146</v>
      </c>
      <c r="L366">
        <v>1764</v>
      </c>
      <c r="M366">
        <v>30382</v>
      </c>
      <c r="N366">
        <v>90915</v>
      </c>
      <c r="O366">
        <v>3626</v>
      </c>
      <c r="P366">
        <v>535535</v>
      </c>
      <c r="Q366">
        <v>28.51</v>
      </c>
      <c r="R366">
        <v>29999757</v>
      </c>
      <c r="S366">
        <v>33313198</v>
      </c>
      <c r="T366">
        <v>4659710</v>
      </c>
      <c r="U366">
        <v>93.77</v>
      </c>
      <c r="V366">
        <v>7.52</v>
      </c>
      <c r="W366">
        <v>4554</v>
      </c>
      <c r="X366">
        <v>1.43</v>
      </c>
      <c r="Y366">
        <v>87.4</v>
      </c>
    </row>
    <row r="367" spans="1:25" x14ac:dyDescent="0.3">
      <c r="A367" t="s">
        <v>27</v>
      </c>
      <c r="B367" t="s">
        <v>32</v>
      </c>
      <c r="C367" t="s">
        <v>40</v>
      </c>
      <c r="D367" s="1">
        <v>44562</v>
      </c>
      <c r="E367">
        <v>24346553</v>
      </c>
      <c r="F367">
        <v>5788</v>
      </c>
      <c r="G367">
        <v>39.5</v>
      </c>
      <c r="H367">
        <v>35565</v>
      </c>
      <c r="I367">
        <v>942344</v>
      </c>
      <c r="J367">
        <v>1764</v>
      </c>
      <c r="K367">
        <v>46256</v>
      </c>
      <c r="L367">
        <v>1599</v>
      </c>
      <c r="M367">
        <v>578866</v>
      </c>
      <c r="N367">
        <v>194994</v>
      </c>
      <c r="O367">
        <v>184</v>
      </c>
      <c r="P367">
        <v>1249699</v>
      </c>
      <c r="Q367">
        <v>17.350000000000001</v>
      </c>
      <c r="R367">
        <v>15802876</v>
      </c>
      <c r="S367">
        <v>2865530</v>
      </c>
      <c r="T367">
        <v>10772967</v>
      </c>
      <c r="U367">
        <v>40.549999999999997</v>
      </c>
      <c r="V367">
        <v>3.02</v>
      </c>
      <c r="W367">
        <v>666</v>
      </c>
      <c r="X367">
        <v>0.81</v>
      </c>
      <c r="Y367">
        <v>74.63</v>
      </c>
    </row>
    <row r="368" spans="1:25" x14ac:dyDescent="0.3">
      <c r="A368" t="s">
        <v>31</v>
      </c>
      <c r="B368" t="s">
        <v>32</v>
      </c>
      <c r="C368" t="s">
        <v>39</v>
      </c>
      <c r="D368" s="1">
        <v>44563</v>
      </c>
      <c r="E368">
        <v>33768890</v>
      </c>
      <c r="F368">
        <v>5718</v>
      </c>
      <c r="G368">
        <v>44.4</v>
      </c>
      <c r="H368">
        <v>23884</v>
      </c>
      <c r="I368">
        <v>459365</v>
      </c>
      <c r="J368">
        <v>6009</v>
      </c>
      <c r="K368">
        <v>11171</v>
      </c>
      <c r="L368">
        <v>1882</v>
      </c>
      <c r="M368">
        <v>845666</v>
      </c>
      <c r="N368">
        <v>465081</v>
      </c>
      <c r="O368">
        <v>4996</v>
      </c>
      <c r="P368">
        <v>1764655</v>
      </c>
      <c r="Q368">
        <v>10.97</v>
      </c>
      <c r="R368">
        <v>13707555</v>
      </c>
      <c r="S368">
        <v>17871742</v>
      </c>
      <c r="T368">
        <v>28593018</v>
      </c>
      <c r="U368">
        <v>56.88</v>
      </c>
      <c r="V368">
        <v>0.66</v>
      </c>
      <c r="W368">
        <v>4216</v>
      </c>
      <c r="X368">
        <v>3.07</v>
      </c>
      <c r="Y368">
        <v>49.69</v>
      </c>
    </row>
    <row r="369" spans="1:25" x14ac:dyDescent="0.3">
      <c r="A369" t="s">
        <v>26</v>
      </c>
      <c r="B369" t="s">
        <v>33</v>
      </c>
      <c r="C369" t="s">
        <v>37</v>
      </c>
      <c r="D369" s="1">
        <v>44564</v>
      </c>
      <c r="E369">
        <v>25149133</v>
      </c>
      <c r="F369">
        <v>14477</v>
      </c>
      <c r="G369">
        <v>30.7</v>
      </c>
      <c r="H369">
        <v>18199</v>
      </c>
      <c r="I369">
        <v>22058</v>
      </c>
      <c r="J369">
        <v>20842</v>
      </c>
      <c r="K369">
        <v>35467</v>
      </c>
      <c r="L369">
        <v>344</v>
      </c>
      <c r="M369">
        <v>239180</v>
      </c>
      <c r="N369">
        <v>203585</v>
      </c>
      <c r="O369">
        <v>8412</v>
      </c>
      <c r="P369">
        <v>1477470</v>
      </c>
      <c r="Q369">
        <v>28.49</v>
      </c>
      <c r="R369">
        <v>42626138</v>
      </c>
      <c r="S369">
        <v>20634027</v>
      </c>
      <c r="T369">
        <v>4934210</v>
      </c>
      <c r="U369">
        <v>79.069999999999993</v>
      </c>
      <c r="V369">
        <v>5.0599999999999996</v>
      </c>
      <c r="W369">
        <v>4064</v>
      </c>
      <c r="X369">
        <v>2.5</v>
      </c>
      <c r="Y369">
        <v>46.19</v>
      </c>
    </row>
    <row r="370" spans="1:25" x14ac:dyDescent="0.3">
      <c r="A370" t="s">
        <v>31</v>
      </c>
      <c r="B370" t="s">
        <v>32</v>
      </c>
      <c r="C370" t="s">
        <v>41</v>
      </c>
      <c r="D370" s="1">
        <v>44565</v>
      </c>
      <c r="E370">
        <v>16659082</v>
      </c>
      <c r="F370">
        <v>7747</v>
      </c>
      <c r="G370">
        <v>23</v>
      </c>
      <c r="H370">
        <v>61038</v>
      </c>
      <c r="I370">
        <v>247301</v>
      </c>
      <c r="J370">
        <v>42372</v>
      </c>
      <c r="K370">
        <v>23584</v>
      </c>
      <c r="L370">
        <v>1292</v>
      </c>
      <c r="M370">
        <v>633518</v>
      </c>
      <c r="N370">
        <v>164814</v>
      </c>
      <c r="O370">
        <v>8031</v>
      </c>
      <c r="P370">
        <v>1041673</v>
      </c>
      <c r="Q370">
        <v>9.8699999999999992</v>
      </c>
      <c r="R370">
        <v>29370007</v>
      </c>
      <c r="S370">
        <v>35929953</v>
      </c>
      <c r="T370">
        <v>4703157</v>
      </c>
      <c r="U370">
        <v>69.709999999999994</v>
      </c>
      <c r="V370">
        <v>8.66</v>
      </c>
      <c r="W370">
        <v>4229</v>
      </c>
      <c r="X370">
        <v>0.56999999999999995</v>
      </c>
      <c r="Y370">
        <v>63.96</v>
      </c>
    </row>
    <row r="371" spans="1:25" x14ac:dyDescent="0.3">
      <c r="A371" t="s">
        <v>26</v>
      </c>
      <c r="B371" t="s">
        <v>36</v>
      </c>
      <c r="C371" t="s">
        <v>40</v>
      </c>
      <c r="D371" s="1">
        <v>44566</v>
      </c>
      <c r="E371">
        <v>34431226</v>
      </c>
      <c r="F371">
        <v>16496</v>
      </c>
      <c r="G371">
        <v>41.6</v>
      </c>
      <c r="H371">
        <v>58786</v>
      </c>
      <c r="I371">
        <v>298073</v>
      </c>
      <c r="J371">
        <v>48780</v>
      </c>
      <c r="K371">
        <v>26912</v>
      </c>
      <c r="L371">
        <v>1863</v>
      </c>
      <c r="M371">
        <v>175398</v>
      </c>
      <c r="N371">
        <v>300555</v>
      </c>
      <c r="O371">
        <v>5563</v>
      </c>
      <c r="P371">
        <v>482018</v>
      </c>
      <c r="Q371">
        <v>2.85</v>
      </c>
      <c r="R371">
        <v>17413788</v>
      </c>
      <c r="S371">
        <v>21976147</v>
      </c>
      <c r="T371">
        <v>13771801</v>
      </c>
      <c r="U371">
        <v>99.55</v>
      </c>
      <c r="V371">
        <v>9.01</v>
      </c>
      <c r="W371">
        <v>2306</v>
      </c>
      <c r="X371">
        <v>2.04</v>
      </c>
      <c r="Y371">
        <v>45.57</v>
      </c>
    </row>
    <row r="372" spans="1:25" x14ac:dyDescent="0.3">
      <c r="A372" t="s">
        <v>31</v>
      </c>
      <c r="B372" t="s">
        <v>34</v>
      </c>
      <c r="C372" t="s">
        <v>40</v>
      </c>
      <c r="D372" s="1">
        <v>44567</v>
      </c>
      <c r="E372">
        <v>16713225</v>
      </c>
      <c r="F372">
        <v>7879</v>
      </c>
      <c r="G372">
        <v>29.5</v>
      </c>
      <c r="H372">
        <v>50294</v>
      </c>
      <c r="I372">
        <v>163434</v>
      </c>
      <c r="J372">
        <v>33435</v>
      </c>
      <c r="K372">
        <v>2820</v>
      </c>
      <c r="L372">
        <v>695</v>
      </c>
      <c r="M372">
        <v>350629</v>
      </c>
      <c r="N372">
        <v>32456</v>
      </c>
      <c r="O372">
        <v>3188</v>
      </c>
      <c r="P372">
        <v>1256934</v>
      </c>
      <c r="Q372">
        <v>29.91</v>
      </c>
      <c r="R372">
        <v>35830580</v>
      </c>
      <c r="S372">
        <v>23904296</v>
      </c>
      <c r="T372">
        <v>17200210</v>
      </c>
      <c r="U372">
        <v>1.37</v>
      </c>
      <c r="V372">
        <v>9.58</v>
      </c>
      <c r="W372">
        <v>4404</v>
      </c>
      <c r="X372">
        <v>2.62</v>
      </c>
      <c r="Y372">
        <v>45.78</v>
      </c>
    </row>
    <row r="373" spans="1:25" x14ac:dyDescent="0.3">
      <c r="A373" t="s">
        <v>30</v>
      </c>
      <c r="B373" t="s">
        <v>36</v>
      </c>
      <c r="C373" t="s">
        <v>40</v>
      </c>
      <c r="D373" s="1">
        <v>44568</v>
      </c>
      <c r="E373">
        <v>21155666</v>
      </c>
      <c r="F373">
        <v>10801</v>
      </c>
      <c r="G373">
        <v>39.5</v>
      </c>
      <c r="H373">
        <v>35178</v>
      </c>
      <c r="I373">
        <v>611777</v>
      </c>
      <c r="J373">
        <v>3370</v>
      </c>
      <c r="K373">
        <v>11673</v>
      </c>
      <c r="L373">
        <v>1796</v>
      </c>
      <c r="M373">
        <v>306672</v>
      </c>
      <c r="N373">
        <v>266053</v>
      </c>
      <c r="O373">
        <v>9285</v>
      </c>
      <c r="P373">
        <v>817015</v>
      </c>
      <c r="Q373">
        <v>8.0399999999999991</v>
      </c>
      <c r="R373">
        <v>39232876</v>
      </c>
      <c r="S373">
        <v>4274015</v>
      </c>
      <c r="T373">
        <v>3510251</v>
      </c>
      <c r="U373">
        <v>35.51</v>
      </c>
      <c r="V373">
        <v>8.86</v>
      </c>
      <c r="W373">
        <v>3360</v>
      </c>
      <c r="X373">
        <v>4.1500000000000004</v>
      </c>
      <c r="Y373">
        <v>1.63</v>
      </c>
    </row>
    <row r="374" spans="1:25" x14ac:dyDescent="0.3">
      <c r="A374" t="s">
        <v>27</v>
      </c>
      <c r="B374" t="s">
        <v>32</v>
      </c>
      <c r="C374" t="s">
        <v>41</v>
      </c>
      <c r="D374" s="1">
        <v>44569</v>
      </c>
      <c r="E374">
        <v>33687633</v>
      </c>
      <c r="F374">
        <v>13500</v>
      </c>
      <c r="G374">
        <v>26.7</v>
      </c>
      <c r="H374">
        <v>13665</v>
      </c>
      <c r="I374">
        <v>609952</v>
      </c>
      <c r="J374">
        <v>38744</v>
      </c>
      <c r="K374">
        <v>6162</v>
      </c>
      <c r="L374">
        <v>267</v>
      </c>
      <c r="M374">
        <v>513371</v>
      </c>
      <c r="N374">
        <v>436687</v>
      </c>
      <c r="O374">
        <v>2945</v>
      </c>
      <c r="P374">
        <v>517456</v>
      </c>
      <c r="Q374">
        <v>25.54</v>
      </c>
      <c r="R374">
        <v>35997845</v>
      </c>
      <c r="S374">
        <v>2238275</v>
      </c>
      <c r="T374">
        <v>8139115</v>
      </c>
      <c r="U374">
        <v>28.1</v>
      </c>
      <c r="V374">
        <v>6.01</v>
      </c>
      <c r="W374">
        <v>981</v>
      </c>
      <c r="X374">
        <v>0.47</v>
      </c>
      <c r="Y374">
        <v>17.41</v>
      </c>
    </row>
    <row r="375" spans="1:25" x14ac:dyDescent="0.3">
      <c r="A375" t="s">
        <v>26</v>
      </c>
      <c r="B375" t="s">
        <v>35</v>
      </c>
      <c r="C375" t="s">
        <v>41</v>
      </c>
      <c r="D375" s="1">
        <v>44570</v>
      </c>
      <c r="E375">
        <v>3533349</v>
      </c>
      <c r="F375">
        <v>7402</v>
      </c>
      <c r="G375">
        <v>20.6</v>
      </c>
      <c r="H375">
        <v>1534</v>
      </c>
      <c r="I375">
        <v>703716</v>
      </c>
      <c r="J375">
        <v>20454</v>
      </c>
      <c r="K375">
        <v>22</v>
      </c>
      <c r="L375">
        <v>168</v>
      </c>
      <c r="M375">
        <v>623726</v>
      </c>
      <c r="N375">
        <v>297119</v>
      </c>
      <c r="O375">
        <v>6765</v>
      </c>
      <c r="P375">
        <v>1188724</v>
      </c>
      <c r="Q375">
        <v>4.97</v>
      </c>
      <c r="R375">
        <v>34508615</v>
      </c>
      <c r="S375">
        <v>3925300</v>
      </c>
      <c r="T375">
        <v>4875630</v>
      </c>
      <c r="U375">
        <v>26.23</v>
      </c>
      <c r="V375">
        <v>4.72</v>
      </c>
      <c r="W375">
        <v>2379</v>
      </c>
      <c r="X375">
        <v>1.81</v>
      </c>
      <c r="Y375">
        <v>48.85</v>
      </c>
    </row>
    <row r="376" spans="1:25" x14ac:dyDescent="0.3">
      <c r="A376" t="s">
        <v>25</v>
      </c>
      <c r="B376" t="s">
        <v>34</v>
      </c>
      <c r="C376" t="s">
        <v>38</v>
      </c>
      <c r="D376" s="1">
        <v>44571</v>
      </c>
      <c r="E376">
        <v>27187290</v>
      </c>
      <c r="F376">
        <v>13566</v>
      </c>
      <c r="G376">
        <v>49.8</v>
      </c>
      <c r="H376">
        <v>37132</v>
      </c>
      <c r="I376">
        <v>78597</v>
      </c>
      <c r="J376">
        <v>41381</v>
      </c>
      <c r="K376">
        <v>11172</v>
      </c>
      <c r="L376">
        <v>1794</v>
      </c>
      <c r="M376">
        <v>643107</v>
      </c>
      <c r="N376">
        <v>241221</v>
      </c>
      <c r="O376">
        <v>2474</v>
      </c>
      <c r="P376">
        <v>936510</v>
      </c>
      <c r="Q376">
        <v>21.94</v>
      </c>
      <c r="R376">
        <v>46347534</v>
      </c>
      <c r="S376">
        <v>6557049</v>
      </c>
      <c r="T376">
        <v>9184315</v>
      </c>
      <c r="U376">
        <v>22.25</v>
      </c>
      <c r="V376">
        <v>7.86</v>
      </c>
      <c r="W376">
        <v>443</v>
      </c>
      <c r="X376">
        <v>4.13</v>
      </c>
      <c r="Y376">
        <v>82.27</v>
      </c>
    </row>
    <row r="377" spans="1:25" x14ac:dyDescent="0.3">
      <c r="A377" t="s">
        <v>28</v>
      </c>
      <c r="B377" t="s">
        <v>34</v>
      </c>
      <c r="C377" t="s">
        <v>37</v>
      </c>
      <c r="D377" s="1">
        <v>44572</v>
      </c>
      <c r="E377">
        <v>28146076</v>
      </c>
      <c r="F377">
        <v>8376</v>
      </c>
      <c r="G377">
        <v>23</v>
      </c>
      <c r="H377">
        <v>37110</v>
      </c>
      <c r="I377">
        <v>793473</v>
      </c>
      <c r="J377">
        <v>38367</v>
      </c>
      <c r="K377">
        <v>22332</v>
      </c>
      <c r="L377">
        <v>1762</v>
      </c>
      <c r="M377">
        <v>557331</v>
      </c>
      <c r="N377">
        <v>271709</v>
      </c>
      <c r="O377">
        <v>6787</v>
      </c>
      <c r="P377">
        <v>1195699</v>
      </c>
      <c r="Q377">
        <v>15.73</v>
      </c>
      <c r="R377">
        <v>38277823</v>
      </c>
      <c r="S377">
        <v>21930119</v>
      </c>
      <c r="T377">
        <v>5288486</v>
      </c>
      <c r="U377">
        <v>70.91</v>
      </c>
      <c r="V377">
        <v>7.53</v>
      </c>
      <c r="W377">
        <v>2515</v>
      </c>
      <c r="X377">
        <v>3.28</v>
      </c>
      <c r="Y377">
        <v>27.87</v>
      </c>
    </row>
    <row r="378" spans="1:25" x14ac:dyDescent="0.3">
      <c r="A378" t="s">
        <v>31</v>
      </c>
      <c r="B378" t="s">
        <v>33</v>
      </c>
      <c r="C378" t="s">
        <v>38</v>
      </c>
      <c r="D378" s="1">
        <v>44573</v>
      </c>
      <c r="E378">
        <v>23684270</v>
      </c>
      <c r="F378">
        <v>3694</v>
      </c>
      <c r="G378">
        <v>49.6</v>
      </c>
      <c r="H378">
        <v>59754</v>
      </c>
      <c r="I378">
        <v>79209</v>
      </c>
      <c r="J378">
        <v>3650</v>
      </c>
      <c r="K378">
        <v>8009</v>
      </c>
      <c r="L378">
        <v>32</v>
      </c>
      <c r="M378">
        <v>649067</v>
      </c>
      <c r="N378">
        <v>197267</v>
      </c>
      <c r="O378">
        <v>8792</v>
      </c>
      <c r="P378">
        <v>398530</v>
      </c>
      <c r="Q378">
        <v>29.43</v>
      </c>
      <c r="R378">
        <v>483843</v>
      </c>
      <c r="S378">
        <v>32872213</v>
      </c>
      <c r="T378">
        <v>16778874</v>
      </c>
      <c r="U378">
        <v>8.48</v>
      </c>
      <c r="V378">
        <v>5.61</v>
      </c>
      <c r="W378">
        <v>3327</v>
      </c>
      <c r="X378">
        <v>1.52</v>
      </c>
      <c r="Y378">
        <v>52.26</v>
      </c>
    </row>
    <row r="379" spans="1:25" x14ac:dyDescent="0.3">
      <c r="A379" t="s">
        <v>31</v>
      </c>
      <c r="B379" t="s">
        <v>33</v>
      </c>
      <c r="C379" t="s">
        <v>37</v>
      </c>
      <c r="D379" s="1">
        <v>44574</v>
      </c>
      <c r="E379">
        <v>15430164</v>
      </c>
      <c r="F379">
        <v>8053</v>
      </c>
      <c r="G379">
        <v>49.3</v>
      </c>
      <c r="H379">
        <v>64580</v>
      </c>
      <c r="I379">
        <v>783397</v>
      </c>
      <c r="J379">
        <v>45117</v>
      </c>
      <c r="K379">
        <v>7229</v>
      </c>
      <c r="L379">
        <v>376</v>
      </c>
      <c r="M379">
        <v>29862</v>
      </c>
      <c r="N379">
        <v>336088</v>
      </c>
      <c r="O379">
        <v>9352</v>
      </c>
      <c r="P379">
        <v>553958</v>
      </c>
      <c r="Q379">
        <v>16.579999999999998</v>
      </c>
      <c r="R379">
        <v>749130</v>
      </c>
      <c r="S379">
        <v>33501289</v>
      </c>
      <c r="T379">
        <v>2322723</v>
      </c>
      <c r="U379">
        <v>74.16</v>
      </c>
      <c r="V379">
        <v>1.33</v>
      </c>
      <c r="W379">
        <v>1979</v>
      </c>
      <c r="X379">
        <v>4.24</v>
      </c>
      <c r="Y379">
        <v>34.5</v>
      </c>
    </row>
    <row r="380" spans="1:25" x14ac:dyDescent="0.3">
      <c r="A380" t="s">
        <v>26</v>
      </c>
      <c r="B380" t="s">
        <v>35</v>
      </c>
      <c r="C380" t="s">
        <v>41</v>
      </c>
      <c r="D380" s="1">
        <v>44575</v>
      </c>
      <c r="E380">
        <v>34837309</v>
      </c>
      <c r="F380">
        <v>3328</v>
      </c>
      <c r="G380">
        <v>43.4</v>
      </c>
      <c r="H380">
        <v>23469</v>
      </c>
      <c r="I380">
        <v>980458</v>
      </c>
      <c r="J380">
        <v>25708</v>
      </c>
      <c r="K380">
        <v>5338</v>
      </c>
      <c r="L380">
        <v>1237</v>
      </c>
      <c r="M380">
        <v>421031</v>
      </c>
      <c r="N380">
        <v>196422</v>
      </c>
      <c r="O380">
        <v>4599</v>
      </c>
      <c r="P380">
        <v>1543549</v>
      </c>
      <c r="Q380">
        <v>0.75</v>
      </c>
      <c r="R380">
        <v>44951337</v>
      </c>
      <c r="S380">
        <v>20607494</v>
      </c>
      <c r="T380">
        <v>9844648</v>
      </c>
      <c r="U380">
        <v>69.34</v>
      </c>
      <c r="V380">
        <v>9.3000000000000007</v>
      </c>
      <c r="W380">
        <v>675</v>
      </c>
      <c r="X380">
        <v>2.52</v>
      </c>
      <c r="Y380">
        <v>10.48</v>
      </c>
    </row>
    <row r="381" spans="1:25" x14ac:dyDescent="0.3">
      <c r="A381" t="s">
        <v>28</v>
      </c>
      <c r="B381" t="s">
        <v>34</v>
      </c>
      <c r="C381" t="s">
        <v>41</v>
      </c>
      <c r="D381" s="1">
        <v>44576</v>
      </c>
      <c r="E381">
        <v>22180041</v>
      </c>
      <c r="F381">
        <v>7346</v>
      </c>
      <c r="G381">
        <v>39.1</v>
      </c>
      <c r="H381">
        <v>65016</v>
      </c>
      <c r="I381">
        <v>193941</v>
      </c>
      <c r="J381">
        <v>42662</v>
      </c>
      <c r="K381">
        <v>3631</v>
      </c>
      <c r="L381">
        <v>1585</v>
      </c>
      <c r="M381">
        <v>159318</v>
      </c>
      <c r="N381">
        <v>349133</v>
      </c>
      <c r="O381">
        <v>6274</v>
      </c>
      <c r="P381">
        <v>986055</v>
      </c>
      <c r="Q381">
        <v>18.12</v>
      </c>
      <c r="R381">
        <v>24630512</v>
      </c>
      <c r="S381">
        <v>32081813</v>
      </c>
      <c r="T381">
        <v>16146293</v>
      </c>
      <c r="U381">
        <v>25.08</v>
      </c>
      <c r="V381">
        <v>4.83</v>
      </c>
      <c r="W381">
        <v>4707</v>
      </c>
      <c r="X381">
        <v>2.54</v>
      </c>
      <c r="Y381">
        <v>95.83</v>
      </c>
    </row>
    <row r="382" spans="1:25" x14ac:dyDescent="0.3">
      <c r="A382" t="s">
        <v>28</v>
      </c>
      <c r="B382" t="s">
        <v>35</v>
      </c>
      <c r="C382" t="s">
        <v>38</v>
      </c>
      <c r="D382" s="1">
        <v>44577</v>
      </c>
      <c r="E382">
        <v>41122564</v>
      </c>
      <c r="F382">
        <v>3124</v>
      </c>
      <c r="G382">
        <v>36.5</v>
      </c>
      <c r="H382">
        <v>47233</v>
      </c>
      <c r="I382">
        <v>677419</v>
      </c>
      <c r="J382">
        <v>3190</v>
      </c>
      <c r="K382">
        <v>24266</v>
      </c>
      <c r="L382">
        <v>1463</v>
      </c>
      <c r="M382">
        <v>403773</v>
      </c>
      <c r="N382">
        <v>15350</v>
      </c>
      <c r="O382">
        <v>4313</v>
      </c>
      <c r="P382">
        <v>1960928</v>
      </c>
      <c r="Q382">
        <v>4.3600000000000003</v>
      </c>
      <c r="R382">
        <v>32883013</v>
      </c>
      <c r="S382">
        <v>5924381</v>
      </c>
      <c r="T382">
        <v>7489305</v>
      </c>
      <c r="U382">
        <v>25.28</v>
      </c>
      <c r="V382">
        <v>3.95</v>
      </c>
      <c r="W382">
        <v>2929</v>
      </c>
      <c r="X382">
        <v>4.8899999999999997</v>
      </c>
      <c r="Y382">
        <v>85.47</v>
      </c>
    </row>
    <row r="383" spans="1:25" x14ac:dyDescent="0.3">
      <c r="A383" t="s">
        <v>30</v>
      </c>
      <c r="B383" t="s">
        <v>33</v>
      </c>
      <c r="C383" t="s">
        <v>39</v>
      </c>
      <c r="D383" s="1">
        <v>44578</v>
      </c>
      <c r="E383">
        <v>32090521</v>
      </c>
      <c r="F383">
        <v>13311</v>
      </c>
      <c r="G383">
        <v>45.7</v>
      </c>
      <c r="H383">
        <v>67708</v>
      </c>
      <c r="I383">
        <v>625152</v>
      </c>
      <c r="J383">
        <v>48113</v>
      </c>
      <c r="K383">
        <v>44443</v>
      </c>
      <c r="L383">
        <v>1515</v>
      </c>
      <c r="M383">
        <v>243221</v>
      </c>
      <c r="N383">
        <v>46123</v>
      </c>
      <c r="O383">
        <v>2218</v>
      </c>
      <c r="P383">
        <v>1059812</v>
      </c>
      <c r="Q383">
        <v>23.96</v>
      </c>
      <c r="R383">
        <v>3439540</v>
      </c>
      <c r="S383">
        <v>233597</v>
      </c>
      <c r="T383">
        <v>29925566</v>
      </c>
      <c r="U383">
        <v>62.89</v>
      </c>
      <c r="V383">
        <v>6.48</v>
      </c>
      <c r="W383">
        <v>3216</v>
      </c>
      <c r="X383">
        <v>4.74</v>
      </c>
      <c r="Y383">
        <v>7.85</v>
      </c>
    </row>
    <row r="384" spans="1:25" x14ac:dyDescent="0.3">
      <c r="A384" t="s">
        <v>25</v>
      </c>
      <c r="B384" t="s">
        <v>33</v>
      </c>
      <c r="C384" t="s">
        <v>38</v>
      </c>
      <c r="D384" s="1">
        <v>44579</v>
      </c>
      <c r="E384">
        <v>29551004</v>
      </c>
      <c r="F384">
        <v>11223</v>
      </c>
      <c r="G384">
        <v>27.3</v>
      </c>
      <c r="H384">
        <v>59232</v>
      </c>
      <c r="I384">
        <v>963226</v>
      </c>
      <c r="J384">
        <v>8789</v>
      </c>
      <c r="K384">
        <v>11324</v>
      </c>
      <c r="L384">
        <v>392</v>
      </c>
      <c r="M384">
        <v>829847</v>
      </c>
      <c r="N384">
        <v>101450</v>
      </c>
      <c r="O384">
        <v>1152</v>
      </c>
      <c r="P384">
        <v>36568</v>
      </c>
      <c r="Q384">
        <v>25.7</v>
      </c>
      <c r="R384">
        <v>43126799</v>
      </c>
      <c r="S384">
        <v>38115727</v>
      </c>
      <c r="T384">
        <v>23839180</v>
      </c>
      <c r="U384">
        <v>76.22</v>
      </c>
      <c r="V384">
        <v>6.9</v>
      </c>
      <c r="W384">
        <v>3472</v>
      </c>
      <c r="X384">
        <v>1.86</v>
      </c>
      <c r="Y384">
        <v>71.98</v>
      </c>
    </row>
    <row r="385" spans="1:25" x14ac:dyDescent="0.3">
      <c r="A385" t="s">
        <v>30</v>
      </c>
      <c r="B385" t="s">
        <v>34</v>
      </c>
      <c r="C385" t="s">
        <v>37</v>
      </c>
      <c r="D385" s="1">
        <v>44580</v>
      </c>
      <c r="E385">
        <v>47839044</v>
      </c>
      <c r="F385">
        <v>8362</v>
      </c>
      <c r="G385">
        <v>33</v>
      </c>
      <c r="H385">
        <v>35409</v>
      </c>
      <c r="I385">
        <v>149620</v>
      </c>
      <c r="J385">
        <v>32125</v>
      </c>
      <c r="K385">
        <v>662</v>
      </c>
      <c r="L385">
        <v>488</v>
      </c>
      <c r="M385">
        <v>838302</v>
      </c>
      <c r="N385">
        <v>177796</v>
      </c>
      <c r="O385">
        <v>56</v>
      </c>
      <c r="P385">
        <v>1681191</v>
      </c>
      <c r="Q385">
        <v>14.46</v>
      </c>
      <c r="R385">
        <v>18243694</v>
      </c>
      <c r="S385">
        <v>37668374</v>
      </c>
      <c r="T385">
        <v>29318947</v>
      </c>
      <c r="U385">
        <v>87.65</v>
      </c>
      <c r="V385">
        <v>2.5</v>
      </c>
      <c r="W385">
        <v>2159</v>
      </c>
      <c r="X385">
        <v>0.79</v>
      </c>
      <c r="Y385">
        <v>34.76</v>
      </c>
    </row>
    <row r="386" spans="1:25" x14ac:dyDescent="0.3">
      <c r="A386" t="s">
        <v>30</v>
      </c>
      <c r="B386" t="s">
        <v>36</v>
      </c>
      <c r="C386" t="s">
        <v>38</v>
      </c>
      <c r="D386" s="1">
        <v>44581</v>
      </c>
      <c r="E386">
        <v>12499401</v>
      </c>
      <c r="F386">
        <v>1687</v>
      </c>
      <c r="G386">
        <v>37.799999999999997</v>
      </c>
      <c r="H386">
        <v>20324</v>
      </c>
      <c r="I386">
        <v>409294</v>
      </c>
      <c r="J386">
        <v>33159</v>
      </c>
      <c r="K386">
        <v>16192</v>
      </c>
      <c r="L386">
        <v>721</v>
      </c>
      <c r="M386">
        <v>690017</v>
      </c>
      <c r="N386">
        <v>16527</v>
      </c>
      <c r="O386">
        <v>9396</v>
      </c>
      <c r="P386">
        <v>256745</v>
      </c>
      <c r="Q386">
        <v>23.5</v>
      </c>
      <c r="R386">
        <v>35855207</v>
      </c>
      <c r="S386">
        <v>2897596</v>
      </c>
      <c r="T386">
        <v>18627223</v>
      </c>
      <c r="U386">
        <v>85.21</v>
      </c>
      <c r="V386">
        <v>8.4499999999999993</v>
      </c>
      <c r="W386">
        <v>1215</v>
      </c>
      <c r="X386">
        <v>1.7</v>
      </c>
      <c r="Y386">
        <v>99.48</v>
      </c>
    </row>
    <row r="387" spans="1:25" x14ac:dyDescent="0.3">
      <c r="A387" t="s">
        <v>30</v>
      </c>
      <c r="B387" t="s">
        <v>32</v>
      </c>
      <c r="C387" t="s">
        <v>40</v>
      </c>
      <c r="D387" s="1">
        <v>44582</v>
      </c>
      <c r="E387">
        <v>6799492</v>
      </c>
      <c r="F387">
        <v>13702</v>
      </c>
      <c r="G387">
        <v>31.2</v>
      </c>
      <c r="H387">
        <v>9738</v>
      </c>
      <c r="I387">
        <v>399635</v>
      </c>
      <c r="J387">
        <v>17459</v>
      </c>
      <c r="K387">
        <v>41590</v>
      </c>
      <c r="L387">
        <v>945</v>
      </c>
      <c r="M387">
        <v>374019</v>
      </c>
      <c r="N387">
        <v>426592</v>
      </c>
      <c r="O387">
        <v>143</v>
      </c>
      <c r="P387">
        <v>373332</v>
      </c>
      <c r="Q387">
        <v>4.3499999999999996</v>
      </c>
      <c r="R387">
        <v>24976072</v>
      </c>
      <c r="S387">
        <v>31361097</v>
      </c>
      <c r="T387">
        <v>22271871</v>
      </c>
      <c r="U387">
        <v>96.49</v>
      </c>
      <c r="V387">
        <v>3.25</v>
      </c>
      <c r="W387">
        <v>2831</v>
      </c>
      <c r="X387">
        <v>0.25</v>
      </c>
      <c r="Y387">
        <v>30.24</v>
      </c>
    </row>
    <row r="388" spans="1:25" x14ac:dyDescent="0.3">
      <c r="A388" t="s">
        <v>30</v>
      </c>
      <c r="B388" t="s">
        <v>33</v>
      </c>
      <c r="C388" t="s">
        <v>37</v>
      </c>
      <c r="D388" s="1">
        <v>44583</v>
      </c>
      <c r="E388">
        <v>23076162</v>
      </c>
      <c r="F388">
        <v>5153</v>
      </c>
      <c r="G388">
        <v>31.7</v>
      </c>
      <c r="H388">
        <v>25054</v>
      </c>
      <c r="I388">
        <v>167562</v>
      </c>
      <c r="J388">
        <v>35418</v>
      </c>
      <c r="K388">
        <v>36568</v>
      </c>
      <c r="L388">
        <v>1052</v>
      </c>
      <c r="M388">
        <v>142894</v>
      </c>
      <c r="N388">
        <v>333887</v>
      </c>
      <c r="O388">
        <v>7218</v>
      </c>
      <c r="P388">
        <v>486119</v>
      </c>
      <c r="Q388">
        <v>14.76</v>
      </c>
      <c r="R388">
        <v>33982842</v>
      </c>
      <c r="S388">
        <v>35668996</v>
      </c>
      <c r="T388">
        <v>25434344</v>
      </c>
      <c r="U388">
        <v>58.14</v>
      </c>
      <c r="V388">
        <v>2.27</v>
      </c>
      <c r="W388">
        <v>1941</v>
      </c>
      <c r="X388">
        <v>0.2</v>
      </c>
      <c r="Y388">
        <v>23.87</v>
      </c>
    </row>
    <row r="389" spans="1:25" x14ac:dyDescent="0.3">
      <c r="A389" t="s">
        <v>30</v>
      </c>
      <c r="B389" t="s">
        <v>33</v>
      </c>
      <c r="C389" t="s">
        <v>37</v>
      </c>
      <c r="D389" s="1">
        <v>44584</v>
      </c>
      <c r="E389">
        <v>28965797</v>
      </c>
      <c r="F389">
        <v>17078</v>
      </c>
      <c r="G389">
        <v>28.6</v>
      </c>
      <c r="H389">
        <v>30709</v>
      </c>
      <c r="I389">
        <v>208158</v>
      </c>
      <c r="J389">
        <v>46368</v>
      </c>
      <c r="K389">
        <v>15669</v>
      </c>
      <c r="L389">
        <v>38</v>
      </c>
      <c r="M389">
        <v>594600</v>
      </c>
      <c r="N389">
        <v>210184</v>
      </c>
      <c r="O389">
        <v>8559</v>
      </c>
      <c r="P389">
        <v>279496</v>
      </c>
      <c r="Q389">
        <v>11.82</v>
      </c>
      <c r="R389">
        <v>37632161</v>
      </c>
      <c r="S389">
        <v>3110806</v>
      </c>
      <c r="T389">
        <v>9751001</v>
      </c>
      <c r="U389">
        <v>90.87</v>
      </c>
      <c r="V389">
        <v>4.3600000000000003</v>
      </c>
      <c r="W389">
        <v>3232</v>
      </c>
      <c r="X389">
        <v>2.04</v>
      </c>
      <c r="Y389">
        <v>56.79</v>
      </c>
    </row>
    <row r="390" spans="1:25" x14ac:dyDescent="0.3">
      <c r="A390" t="s">
        <v>27</v>
      </c>
      <c r="B390" t="s">
        <v>36</v>
      </c>
      <c r="C390" t="s">
        <v>39</v>
      </c>
      <c r="D390" s="1">
        <v>44585</v>
      </c>
      <c r="E390">
        <v>39983075</v>
      </c>
      <c r="F390">
        <v>2082</v>
      </c>
      <c r="G390">
        <v>36.1</v>
      </c>
      <c r="H390">
        <v>1363</v>
      </c>
      <c r="I390">
        <v>640446</v>
      </c>
      <c r="J390">
        <v>47085</v>
      </c>
      <c r="K390">
        <v>34423</v>
      </c>
      <c r="L390">
        <v>1882</v>
      </c>
      <c r="M390">
        <v>471558</v>
      </c>
      <c r="N390">
        <v>134611</v>
      </c>
      <c r="O390">
        <v>9674</v>
      </c>
      <c r="P390">
        <v>1699585</v>
      </c>
      <c r="Q390">
        <v>18.34</v>
      </c>
      <c r="R390">
        <v>774426</v>
      </c>
      <c r="S390">
        <v>5615054</v>
      </c>
      <c r="T390">
        <v>28052884</v>
      </c>
      <c r="U390">
        <v>80.849999999999994</v>
      </c>
      <c r="V390">
        <v>7.44</v>
      </c>
      <c r="W390">
        <v>1689</v>
      </c>
      <c r="X390">
        <v>4.71</v>
      </c>
      <c r="Y390">
        <v>83.51</v>
      </c>
    </row>
    <row r="391" spans="1:25" x14ac:dyDescent="0.3">
      <c r="A391" t="s">
        <v>28</v>
      </c>
      <c r="B391" t="s">
        <v>36</v>
      </c>
      <c r="C391" t="s">
        <v>41</v>
      </c>
      <c r="D391" s="1">
        <v>44586</v>
      </c>
      <c r="E391">
        <v>45524017</v>
      </c>
      <c r="F391">
        <v>2811</v>
      </c>
      <c r="G391">
        <v>45.2</v>
      </c>
      <c r="H391">
        <v>11358</v>
      </c>
      <c r="I391">
        <v>977264</v>
      </c>
      <c r="J391">
        <v>18768</v>
      </c>
      <c r="K391">
        <v>10445</v>
      </c>
      <c r="L391">
        <v>1635</v>
      </c>
      <c r="M391">
        <v>820949</v>
      </c>
      <c r="N391">
        <v>479164</v>
      </c>
      <c r="O391">
        <v>6361</v>
      </c>
      <c r="P391">
        <v>260291</v>
      </c>
      <c r="Q391">
        <v>1.33</v>
      </c>
      <c r="R391">
        <v>10932492</v>
      </c>
      <c r="S391">
        <v>14442577</v>
      </c>
      <c r="T391">
        <v>2604878</v>
      </c>
      <c r="U391">
        <v>89.47</v>
      </c>
      <c r="V391">
        <v>9.67</v>
      </c>
      <c r="W391">
        <v>831</v>
      </c>
      <c r="X391">
        <v>4.37</v>
      </c>
      <c r="Y391">
        <v>19.25</v>
      </c>
    </row>
    <row r="392" spans="1:25" x14ac:dyDescent="0.3">
      <c r="A392" t="s">
        <v>30</v>
      </c>
      <c r="B392" t="s">
        <v>35</v>
      </c>
      <c r="C392" t="s">
        <v>37</v>
      </c>
      <c r="D392" s="1">
        <v>44587</v>
      </c>
      <c r="E392">
        <v>43779132</v>
      </c>
      <c r="F392">
        <v>15245</v>
      </c>
      <c r="G392">
        <v>24.4</v>
      </c>
      <c r="H392">
        <v>4240</v>
      </c>
      <c r="I392">
        <v>948841</v>
      </c>
      <c r="J392">
        <v>49961</v>
      </c>
      <c r="K392">
        <v>28077</v>
      </c>
      <c r="L392">
        <v>1196</v>
      </c>
      <c r="M392">
        <v>843724</v>
      </c>
      <c r="N392">
        <v>218503</v>
      </c>
      <c r="O392">
        <v>615</v>
      </c>
      <c r="P392">
        <v>439866</v>
      </c>
      <c r="Q392">
        <v>22.56</v>
      </c>
      <c r="R392">
        <v>2738659</v>
      </c>
      <c r="S392">
        <v>2575326</v>
      </c>
      <c r="T392">
        <v>7169157</v>
      </c>
      <c r="U392">
        <v>1.1599999999999999</v>
      </c>
      <c r="V392">
        <v>8.19</v>
      </c>
      <c r="W392">
        <v>4742</v>
      </c>
      <c r="X392">
        <v>2.61</v>
      </c>
      <c r="Y392">
        <v>70.94</v>
      </c>
    </row>
    <row r="393" spans="1:25" x14ac:dyDescent="0.3">
      <c r="A393" t="s">
        <v>28</v>
      </c>
      <c r="B393" t="s">
        <v>35</v>
      </c>
      <c r="C393" t="s">
        <v>41</v>
      </c>
      <c r="D393" s="1">
        <v>44588</v>
      </c>
      <c r="E393">
        <v>31232364</v>
      </c>
      <c r="F393">
        <v>18502</v>
      </c>
      <c r="G393">
        <v>47.9</v>
      </c>
      <c r="H393">
        <v>46689</v>
      </c>
      <c r="I393">
        <v>2468</v>
      </c>
      <c r="J393">
        <v>15563</v>
      </c>
      <c r="K393">
        <v>22268</v>
      </c>
      <c r="L393">
        <v>1040</v>
      </c>
      <c r="M393">
        <v>228708</v>
      </c>
      <c r="N393">
        <v>78772</v>
      </c>
      <c r="O393">
        <v>8062</v>
      </c>
      <c r="P393">
        <v>404562</v>
      </c>
      <c r="Q393">
        <v>2.37</v>
      </c>
      <c r="R393">
        <v>31939226</v>
      </c>
      <c r="S393">
        <v>35221781</v>
      </c>
      <c r="T393">
        <v>24850602</v>
      </c>
      <c r="U393">
        <v>96.59</v>
      </c>
      <c r="V393">
        <v>9.43</v>
      </c>
      <c r="W393">
        <v>2106</v>
      </c>
      <c r="X393">
        <v>2.87</v>
      </c>
      <c r="Y393">
        <v>6.14</v>
      </c>
    </row>
    <row r="394" spans="1:25" x14ac:dyDescent="0.3">
      <c r="A394" t="s">
        <v>28</v>
      </c>
      <c r="B394" t="s">
        <v>32</v>
      </c>
      <c r="C394" t="s">
        <v>38</v>
      </c>
      <c r="D394" s="1">
        <v>44589</v>
      </c>
      <c r="E394">
        <v>34904782</v>
      </c>
      <c r="F394">
        <v>16675</v>
      </c>
      <c r="G394">
        <v>40.1</v>
      </c>
      <c r="H394">
        <v>2936</v>
      </c>
      <c r="I394">
        <v>287453</v>
      </c>
      <c r="J394">
        <v>27885</v>
      </c>
      <c r="K394">
        <v>28297</v>
      </c>
      <c r="L394">
        <v>1079</v>
      </c>
      <c r="M394">
        <v>391842</v>
      </c>
      <c r="N394">
        <v>473019</v>
      </c>
      <c r="O394">
        <v>5977</v>
      </c>
      <c r="P394">
        <v>681516</v>
      </c>
      <c r="Q394">
        <v>19.690000000000001</v>
      </c>
      <c r="R394">
        <v>46705736</v>
      </c>
      <c r="S394">
        <v>39693127</v>
      </c>
      <c r="T394">
        <v>28243358</v>
      </c>
      <c r="U394">
        <v>47.35</v>
      </c>
      <c r="V394">
        <v>1.84</v>
      </c>
      <c r="W394">
        <v>2373</v>
      </c>
      <c r="X394">
        <v>0.13</v>
      </c>
      <c r="Y394">
        <v>91.89</v>
      </c>
    </row>
    <row r="395" spans="1:25" x14ac:dyDescent="0.3">
      <c r="A395" t="s">
        <v>29</v>
      </c>
      <c r="B395" t="s">
        <v>32</v>
      </c>
      <c r="C395" t="s">
        <v>40</v>
      </c>
      <c r="D395" s="1">
        <v>44590</v>
      </c>
      <c r="E395">
        <v>47569821</v>
      </c>
      <c r="F395">
        <v>2718</v>
      </c>
      <c r="G395">
        <v>44.3</v>
      </c>
      <c r="H395">
        <v>44965</v>
      </c>
      <c r="I395">
        <v>984848</v>
      </c>
      <c r="J395">
        <v>21885</v>
      </c>
      <c r="K395">
        <v>3698</v>
      </c>
      <c r="L395">
        <v>225</v>
      </c>
      <c r="M395">
        <v>804561</v>
      </c>
      <c r="N395">
        <v>17400</v>
      </c>
      <c r="O395">
        <v>9780</v>
      </c>
      <c r="P395">
        <v>56904</v>
      </c>
      <c r="Q395">
        <v>0.55000000000000004</v>
      </c>
      <c r="R395">
        <v>33035460</v>
      </c>
      <c r="S395">
        <v>3589974</v>
      </c>
      <c r="T395">
        <v>2719771</v>
      </c>
      <c r="U395">
        <v>79.819999999999993</v>
      </c>
      <c r="V395">
        <v>1.18</v>
      </c>
      <c r="W395">
        <v>2324</v>
      </c>
      <c r="X395">
        <v>1.1599999999999999</v>
      </c>
      <c r="Y395">
        <v>8.11</v>
      </c>
    </row>
    <row r="396" spans="1:25" x14ac:dyDescent="0.3">
      <c r="A396" t="s">
        <v>27</v>
      </c>
      <c r="B396" t="s">
        <v>34</v>
      </c>
      <c r="C396" t="s">
        <v>39</v>
      </c>
      <c r="D396" s="1">
        <v>44591</v>
      </c>
      <c r="E396">
        <v>45648268</v>
      </c>
      <c r="F396">
        <v>14688</v>
      </c>
      <c r="G396">
        <v>35.799999999999997</v>
      </c>
      <c r="H396">
        <v>1882</v>
      </c>
      <c r="I396">
        <v>73255</v>
      </c>
      <c r="J396">
        <v>6895</v>
      </c>
      <c r="K396">
        <v>7699</v>
      </c>
      <c r="L396">
        <v>1581</v>
      </c>
      <c r="M396">
        <v>653402</v>
      </c>
      <c r="N396">
        <v>322533</v>
      </c>
      <c r="O396">
        <v>6984</v>
      </c>
      <c r="P396">
        <v>1981115</v>
      </c>
      <c r="Q396">
        <v>24.96</v>
      </c>
      <c r="R396">
        <v>1086706</v>
      </c>
      <c r="S396">
        <v>24643143</v>
      </c>
      <c r="T396">
        <v>28725383</v>
      </c>
      <c r="U396">
        <v>12.72</v>
      </c>
      <c r="V396">
        <v>5.8</v>
      </c>
      <c r="W396">
        <v>2283</v>
      </c>
      <c r="X396">
        <v>0.22</v>
      </c>
      <c r="Y396">
        <v>91.42</v>
      </c>
    </row>
    <row r="397" spans="1:25" x14ac:dyDescent="0.3">
      <c r="A397" t="s">
        <v>30</v>
      </c>
      <c r="B397" t="s">
        <v>35</v>
      </c>
      <c r="C397" t="s">
        <v>41</v>
      </c>
      <c r="D397" s="1">
        <v>44592</v>
      </c>
      <c r="E397">
        <v>9056255</v>
      </c>
      <c r="F397">
        <v>16004</v>
      </c>
      <c r="G397">
        <v>42.9</v>
      </c>
      <c r="H397">
        <v>21224</v>
      </c>
      <c r="I397">
        <v>783366</v>
      </c>
      <c r="J397">
        <v>23958</v>
      </c>
      <c r="K397">
        <v>1389</v>
      </c>
      <c r="L397">
        <v>66</v>
      </c>
      <c r="M397">
        <v>97450</v>
      </c>
      <c r="N397">
        <v>410498</v>
      </c>
      <c r="O397">
        <v>8890</v>
      </c>
      <c r="P397">
        <v>909573</v>
      </c>
      <c r="Q397">
        <v>5.24</v>
      </c>
      <c r="R397">
        <v>46600789</v>
      </c>
      <c r="S397">
        <v>37899331</v>
      </c>
      <c r="T397">
        <v>11021212</v>
      </c>
      <c r="U397">
        <v>39.590000000000003</v>
      </c>
      <c r="V397">
        <v>3.26</v>
      </c>
      <c r="W397">
        <v>2688</v>
      </c>
      <c r="X397">
        <v>3.8</v>
      </c>
      <c r="Y397">
        <v>49.08</v>
      </c>
    </row>
    <row r="398" spans="1:25" x14ac:dyDescent="0.3">
      <c r="A398" t="s">
        <v>31</v>
      </c>
      <c r="B398" t="s">
        <v>33</v>
      </c>
      <c r="C398" t="s">
        <v>37</v>
      </c>
      <c r="D398" s="1">
        <v>44593</v>
      </c>
      <c r="E398">
        <v>34489909</v>
      </c>
      <c r="F398">
        <v>17236</v>
      </c>
      <c r="G398">
        <v>18.5</v>
      </c>
      <c r="H398">
        <v>31825</v>
      </c>
      <c r="I398">
        <v>869331</v>
      </c>
      <c r="J398">
        <v>1531</v>
      </c>
      <c r="K398">
        <v>37021</v>
      </c>
      <c r="L398">
        <v>1220</v>
      </c>
      <c r="M398">
        <v>175442</v>
      </c>
      <c r="N398">
        <v>463823</v>
      </c>
      <c r="O398">
        <v>4971</v>
      </c>
      <c r="P398">
        <v>279252</v>
      </c>
      <c r="Q398">
        <v>15.46</v>
      </c>
      <c r="R398">
        <v>15049502</v>
      </c>
      <c r="S398">
        <v>29932863</v>
      </c>
      <c r="T398">
        <v>13408660</v>
      </c>
      <c r="U398">
        <v>27.15</v>
      </c>
      <c r="V398">
        <v>8.3699999999999992</v>
      </c>
      <c r="W398">
        <v>3337</v>
      </c>
      <c r="X398">
        <v>0.81</v>
      </c>
      <c r="Y398">
        <v>44.81</v>
      </c>
    </row>
    <row r="399" spans="1:25" x14ac:dyDescent="0.3">
      <c r="A399" t="s">
        <v>26</v>
      </c>
      <c r="B399" t="s">
        <v>35</v>
      </c>
      <c r="C399" t="s">
        <v>41</v>
      </c>
      <c r="D399" s="1">
        <v>44594</v>
      </c>
      <c r="E399">
        <v>44126563</v>
      </c>
      <c r="F399">
        <v>12406</v>
      </c>
      <c r="G399">
        <v>44.2</v>
      </c>
      <c r="H399">
        <v>29885</v>
      </c>
      <c r="I399">
        <v>554006</v>
      </c>
      <c r="J399">
        <v>5481</v>
      </c>
      <c r="K399">
        <v>43015</v>
      </c>
      <c r="L399">
        <v>1677</v>
      </c>
      <c r="M399">
        <v>65329</v>
      </c>
      <c r="N399">
        <v>444228</v>
      </c>
      <c r="O399">
        <v>5781</v>
      </c>
      <c r="P399">
        <v>523247</v>
      </c>
      <c r="Q399">
        <v>7.84</v>
      </c>
      <c r="R399">
        <v>9204994</v>
      </c>
      <c r="S399">
        <v>10535517</v>
      </c>
      <c r="T399">
        <v>22744016</v>
      </c>
      <c r="U399">
        <v>29.17</v>
      </c>
      <c r="V399">
        <v>6.88</v>
      </c>
      <c r="W399">
        <v>2530</v>
      </c>
      <c r="X399">
        <v>4.3600000000000003</v>
      </c>
      <c r="Y399">
        <v>97.33</v>
      </c>
    </row>
    <row r="400" spans="1:25" x14ac:dyDescent="0.3">
      <c r="A400" t="s">
        <v>25</v>
      </c>
      <c r="B400" t="s">
        <v>33</v>
      </c>
      <c r="C400" t="s">
        <v>37</v>
      </c>
      <c r="D400" s="1">
        <v>44595</v>
      </c>
      <c r="E400">
        <v>49286500</v>
      </c>
      <c r="F400">
        <v>245</v>
      </c>
      <c r="G400">
        <v>19.3</v>
      </c>
      <c r="H400">
        <v>41056</v>
      </c>
      <c r="I400">
        <v>226409</v>
      </c>
      <c r="J400">
        <v>23932</v>
      </c>
      <c r="K400">
        <v>27634</v>
      </c>
      <c r="L400">
        <v>834</v>
      </c>
      <c r="M400">
        <v>770390</v>
      </c>
      <c r="N400">
        <v>420225</v>
      </c>
      <c r="O400">
        <v>944</v>
      </c>
      <c r="P400">
        <v>790285</v>
      </c>
      <c r="Q400">
        <v>21.68</v>
      </c>
      <c r="R400">
        <v>41270045</v>
      </c>
      <c r="S400">
        <v>784402</v>
      </c>
      <c r="T400">
        <v>26375031</v>
      </c>
      <c r="U400">
        <v>12.33</v>
      </c>
      <c r="V400">
        <v>9.7200000000000006</v>
      </c>
      <c r="W400">
        <v>2666</v>
      </c>
      <c r="X400">
        <v>3.25</v>
      </c>
      <c r="Y400">
        <v>99.04</v>
      </c>
    </row>
    <row r="401" spans="1:25" x14ac:dyDescent="0.3">
      <c r="A401" t="s">
        <v>31</v>
      </c>
      <c r="B401" t="s">
        <v>36</v>
      </c>
      <c r="C401" t="s">
        <v>41</v>
      </c>
      <c r="D401" s="1">
        <v>44596</v>
      </c>
      <c r="E401">
        <v>39706376</v>
      </c>
      <c r="F401">
        <v>2237</v>
      </c>
      <c r="G401">
        <v>46.5</v>
      </c>
      <c r="H401">
        <v>4203</v>
      </c>
      <c r="I401">
        <v>240967</v>
      </c>
      <c r="J401">
        <v>21360</v>
      </c>
      <c r="K401">
        <v>25974</v>
      </c>
      <c r="L401">
        <v>1046</v>
      </c>
      <c r="M401">
        <v>535376</v>
      </c>
      <c r="N401">
        <v>19759</v>
      </c>
      <c r="O401">
        <v>9114</v>
      </c>
      <c r="P401">
        <v>347300</v>
      </c>
      <c r="Q401">
        <v>9.64</v>
      </c>
      <c r="R401">
        <v>46027924</v>
      </c>
      <c r="S401">
        <v>13881983</v>
      </c>
      <c r="T401">
        <v>12908024</v>
      </c>
      <c r="U401">
        <v>80.58</v>
      </c>
      <c r="V401">
        <v>2.92</v>
      </c>
      <c r="W401">
        <v>405</v>
      </c>
      <c r="X401">
        <v>1.22</v>
      </c>
      <c r="Y401">
        <v>65.02</v>
      </c>
    </row>
    <row r="402" spans="1:25" x14ac:dyDescent="0.3">
      <c r="A402" t="s">
        <v>27</v>
      </c>
      <c r="B402" t="s">
        <v>35</v>
      </c>
      <c r="C402" t="s">
        <v>37</v>
      </c>
      <c r="D402" s="1">
        <v>44597</v>
      </c>
      <c r="E402">
        <v>29862480</v>
      </c>
      <c r="F402">
        <v>11757</v>
      </c>
      <c r="G402">
        <v>49.7</v>
      </c>
      <c r="H402">
        <v>61241</v>
      </c>
      <c r="I402">
        <v>694201</v>
      </c>
      <c r="J402">
        <v>43642</v>
      </c>
      <c r="K402">
        <v>22901</v>
      </c>
      <c r="L402">
        <v>998</v>
      </c>
      <c r="M402">
        <v>892212</v>
      </c>
      <c r="N402">
        <v>162575</v>
      </c>
      <c r="O402">
        <v>7078</v>
      </c>
      <c r="P402">
        <v>267320</v>
      </c>
      <c r="Q402">
        <v>21.74</v>
      </c>
      <c r="R402">
        <v>44185442</v>
      </c>
      <c r="S402">
        <v>24972881</v>
      </c>
      <c r="T402">
        <v>5907287</v>
      </c>
      <c r="U402">
        <v>0.92</v>
      </c>
      <c r="V402">
        <v>5.1100000000000003</v>
      </c>
      <c r="W402">
        <v>4537</v>
      </c>
      <c r="X402">
        <v>0.87</v>
      </c>
      <c r="Y402">
        <v>12.71</v>
      </c>
    </row>
    <row r="403" spans="1:25" x14ac:dyDescent="0.3">
      <c r="A403" t="s">
        <v>26</v>
      </c>
      <c r="B403" t="s">
        <v>36</v>
      </c>
      <c r="C403" t="s">
        <v>38</v>
      </c>
      <c r="D403" s="1">
        <v>44598</v>
      </c>
      <c r="E403">
        <v>4827308</v>
      </c>
      <c r="F403">
        <v>2380</v>
      </c>
      <c r="G403">
        <v>27.4</v>
      </c>
      <c r="H403">
        <v>3244</v>
      </c>
      <c r="I403">
        <v>992052</v>
      </c>
      <c r="J403">
        <v>24829</v>
      </c>
      <c r="K403">
        <v>49108</v>
      </c>
      <c r="L403">
        <v>1629</v>
      </c>
      <c r="M403">
        <v>496695</v>
      </c>
      <c r="N403">
        <v>245359</v>
      </c>
      <c r="O403">
        <v>1746</v>
      </c>
      <c r="P403">
        <v>625747</v>
      </c>
      <c r="Q403">
        <v>8.5500000000000007</v>
      </c>
      <c r="R403">
        <v>19806623</v>
      </c>
      <c r="S403">
        <v>30621620</v>
      </c>
      <c r="T403">
        <v>29798329</v>
      </c>
      <c r="U403">
        <v>31.25</v>
      </c>
      <c r="V403">
        <v>5.26</v>
      </c>
      <c r="W403">
        <v>4724</v>
      </c>
      <c r="X403">
        <v>3.18</v>
      </c>
      <c r="Y403">
        <v>50.62</v>
      </c>
    </row>
    <row r="404" spans="1:25" x14ac:dyDescent="0.3">
      <c r="A404" t="s">
        <v>27</v>
      </c>
      <c r="B404" t="s">
        <v>32</v>
      </c>
      <c r="C404" t="s">
        <v>37</v>
      </c>
      <c r="D404" s="1">
        <v>44599</v>
      </c>
      <c r="E404">
        <v>45403073</v>
      </c>
      <c r="F404">
        <v>3656</v>
      </c>
      <c r="G404">
        <v>24.7</v>
      </c>
      <c r="H404">
        <v>69619</v>
      </c>
      <c r="I404">
        <v>739925</v>
      </c>
      <c r="J404">
        <v>19932</v>
      </c>
      <c r="K404">
        <v>38389</v>
      </c>
      <c r="L404">
        <v>1777</v>
      </c>
      <c r="M404">
        <v>303365</v>
      </c>
      <c r="N404">
        <v>426902</v>
      </c>
      <c r="O404">
        <v>5783</v>
      </c>
      <c r="P404">
        <v>1468712</v>
      </c>
      <c r="Q404">
        <v>22.57</v>
      </c>
      <c r="R404">
        <v>12517801</v>
      </c>
      <c r="S404">
        <v>9377500</v>
      </c>
      <c r="T404">
        <v>22223291</v>
      </c>
      <c r="U404">
        <v>17.440000000000001</v>
      </c>
      <c r="V404">
        <v>2.77</v>
      </c>
      <c r="W404">
        <v>3396</v>
      </c>
      <c r="X404">
        <v>4.51</v>
      </c>
      <c r="Y404">
        <v>52.92</v>
      </c>
    </row>
    <row r="405" spans="1:25" x14ac:dyDescent="0.3">
      <c r="A405" t="s">
        <v>28</v>
      </c>
      <c r="B405" t="s">
        <v>32</v>
      </c>
      <c r="C405" t="s">
        <v>37</v>
      </c>
      <c r="D405" s="1">
        <v>44600</v>
      </c>
      <c r="E405">
        <v>24229530</v>
      </c>
      <c r="F405">
        <v>110</v>
      </c>
      <c r="G405">
        <v>42.5</v>
      </c>
      <c r="H405">
        <v>22584</v>
      </c>
      <c r="I405">
        <v>965164</v>
      </c>
      <c r="J405">
        <v>38931</v>
      </c>
      <c r="K405">
        <v>12526</v>
      </c>
      <c r="L405">
        <v>236</v>
      </c>
      <c r="M405">
        <v>693005</v>
      </c>
      <c r="N405">
        <v>10460</v>
      </c>
      <c r="O405">
        <v>9751</v>
      </c>
      <c r="P405">
        <v>1235498</v>
      </c>
      <c r="Q405">
        <v>0.92</v>
      </c>
      <c r="R405">
        <v>14552036</v>
      </c>
      <c r="S405">
        <v>15471958</v>
      </c>
      <c r="T405">
        <v>29235633</v>
      </c>
      <c r="U405">
        <v>58.9</v>
      </c>
      <c r="V405">
        <v>6.11</v>
      </c>
      <c r="W405">
        <v>3572</v>
      </c>
      <c r="X405">
        <v>3.62</v>
      </c>
      <c r="Y405">
        <v>51.44</v>
      </c>
    </row>
    <row r="406" spans="1:25" x14ac:dyDescent="0.3">
      <c r="A406" t="s">
        <v>26</v>
      </c>
      <c r="B406" t="s">
        <v>34</v>
      </c>
      <c r="C406" t="s">
        <v>40</v>
      </c>
      <c r="D406" s="1">
        <v>44601</v>
      </c>
      <c r="E406">
        <v>45271670</v>
      </c>
      <c r="F406">
        <v>14437</v>
      </c>
      <c r="G406">
        <v>26.1</v>
      </c>
      <c r="H406">
        <v>9521</v>
      </c>
      <c r="I406">
        <v>369697</v>
      </c>
      <c r="J406">
        <v>38032</v>
      </c>
      <c r="K406">
        <v>13896</v>
      </c>
      <c r="L406">
        <v>956</v>
      </c>
      <c r="M406">
        <v>273243</v>
      </c>
      <c r="N406">
        <v>283668</v>
      </c>
      <c r="O406">
        <v>6907</v>
      </c>
      <c r="P406">
        <v>1187477</v>
      </c>
      <c r="Q406">
        <v>8.5</v>
      </c>
      <c r="R406">
        <v>8976061</v>
      </c>
      <c r="S406">
        <v>5405747</v>
      </c>
      <c r="T406">
        <v>22496483</v>
      </c>
      <c r="U406">
        <v>25.43</v>
      </c>
      <c r="V406">
        <v>4.71</v>
      </c>
      <c r="W406">
        <v>2517</v>
      </c>
      <c r="X406">
        <v>1.81</v>
      </c>
      <c r="Y406">
        <v>56.95</v>
      </c>
    </row>
    <row r="407" spans="1:25" x14ac:dyDescent="0.3">
      <c r="A407" t="s">
        <v>28</v>
      </c>
      <c r="B407" t="s">
        <v>35</v>
      </c>
      <c r="C407" t="s">
        <v>37</v>
      </c>
      <c r="D407" s="1">
        <v>44602</v>
      </c>
      <c r="E407">
        <v>13133010</v>
      </c>
      <c r="F407">
        <v>3977</v>
      </c>
      <c r="G407">
        <v>45.7</v>
      </c>
      <c r="H407">
        <v>51017</v>
      </c>
      <c r="I407">
        <v>837713</v>
      </c>
      <c r="J407">
        <v>15890</v>
      </c>
      <c r="K407">
        <v>20317</v>
      </c>
      <c r="L407">
        <v>918</v>
      </c>
      <c r="M407">
        <v>335238</v>
      </c>
      <c r="N407">
        <v>98135</v>
      </c>
      <c r="O407">
        <v>9275</v>
      </c>
      <c r="P407">
        <v>124225</v>
      </c>
      <c r="Q407">
        <v>14.96</v>
      </c>
      <c r="R407">
        <v>4599000</v>
      </c>
      <c r="S407">
        <v>15405230</v>
      </c>
      <c r="T407">
        <v>26718716</v>
      </c>
      <c r="U407">
        <v>25.9</v>
      </c>
      <c r="V407">
        <v>4.74</v>
      </c>
      <c r="W407">
        <v>213</v>
      </c>
      <c r="X407">
        <v>2.98</v>
      </c>
      <c r="Y407">
        <v>1.87</v>
      </c>
    </row>
    <row r="408" spans="1:25" x14ac:dyDescent="0.3">
      <c r="A408" t="s">
        <v>31</v>
      </c>
      <c r="B408" t="s">
        <v>36</v>
      </c>
      <c r="C408" t="s">
        <v>40</v>
      </c>
      <c r="D408" s="1">
        <v>44603</v>
      </c>
      <c r="E408">
        <v>23942985</v>
      </c>
      <c r="F408">
        <v>6346</v>
      </c>
      <c r="G408">
        <v>21.3</v>
      </c>
      <c r="H408">
        <v>34541</v>
      </c>
      <c r="I408">
        <v>376595</v>
      </c>
      <c r="J408">
        <v>18807</v>
      </c>
      <c r="K408">
        <v>24853</v>
      </c>
      <c r="L408">
        <v>1946</v>
      </c>
      <c r="M408">
        <v>476458</v>
      </c>
      <c r="N408">
        <v>48891</v>
      </c>
      <c r="O408">
        <v>8625</v>
      </c>
      <c r="P408">
        <v>494406</v>
      </c>
      <c r="Q408">
        <v>1.35</v>
      </c>
      <c r="R408">
        <v>12255135</v>
      </c>
      <c r="S408">
        <v>31767889</v>
      </c>
      <c r="T408">
        <v>1707806</v>
      </c>
      <c r="U408">
        <v>48.83</v>
      </c>
      <c r="V408">
        <v>3.95</v>
      </c>
      <c r="W408">
        <v>3684</v>
      </c>
      <c r="X408">
        <v>1.62</v>
      </c>
      <c r="Y408">
        <v>71.12</v>
      </c>
    </row>
    <row r="409" spans="1:25" x14ac:dyDescent="0.3">
      <c r="A409" t="s">
        <v>31</v>
      </c>
      <c r="B409" t="s">
        <v>33</v>
      </c>
      <c r="C409" t="s">
        <v>39</v>
      </c>
      <c r="D409" s="1">
        <v>44604</v>
      </c>
      <c r="E409">
        <v>40593087</v>
      </c>
      <c r="F409">
        <v>13672</v>
      </c>
      <c r="G409">
        <v>22</v>
      </c>
      <c r="H409">
        <v>30063</v>
      </c>
      <c r="I409">
        <v>248113</v>
      </c>
      <c r="J409">
        <v>11767</v>
      </c>
      <c r="K409">
        <v>46494</v>
      </c>
      <c r="L409">
        <v>1589</v>
      </c>
      <c r="M409">
        <v>733290</v>
      </c>
      <c r="N409">
        <v>396381</v>
      </c>
      <c r="O409">
        <v>2926</v>
      </c>
      <c r="P409">
        <v>1809711</v>
      </c>
      <c r="Q409">
        <v>5.58</v>
      </c>
      <c r="R409">
        <v>40282978</v>
      </c>
      <c r="S409">
        <v>14770091</v>
      </c>
      <c r="T409">
        <v>11044142</v>
      </c>
      <c r="U409">
        <v>65.27</v>
      </c>
      <c r="V409">
        <v>0.66</v>
      </c>
      <c r="W409">
        <v>4783</v>
      </c>
      <c r="X409">
        <v>5</v>
      </c>
      <c r="Y409">
        <v>71.239999999999995</v>
      </c>
    </row>
    <row r="410" spans="1:25" x14ac:dyDescent="0.3">
      <c r="A410" t="s">
        <v>26</v>
      </c>
      <c r="B410" t="s">
        <v>32</v>
      </c>
      <c r="C410" t="s">
        <v>40</v>
      </c>
      <c r="D410" s="1">
        <v>44605</v>
      </c>
      <c r="E410">
        <v>25791884</v>
      </c>
      <c r="F410">
        <v>14175</v>
      </c>
      <c r="G410">
        <v>49.3</v>
      </c>
      <c r="H410">
        <v>65952</v>
      </c>
      <c r="I410">
        <v>788199</v>
      </c>
      <c r="J410">
        <v>8071</v>
      </c>
      <c r="K410">
        <v>5922</v>
      </c>
      <c r="L410">
        <v>1161</v>
      </c>
      <c r="M410">
        <v>658799</v>
      </c>
      <c r="N410">
        <v>199967</v>
      </c>
      <c r="O410">
        <v>1089</v>
      </c>
      <c r="P410">
        <v>222738</v>
      </c>
      <c r="Q410">
        <v>28.04</v>
      </c>
      <c r="R410">
        <v>19465431</v>
      </c>
      <c r="S410">
        <v>27313504</v>
      </c>
      <c r="T410">
        <v>19191841</v>
      </c>
      <c r="U410">
        <v>12.13</v>
      </c>
      <c r="V410">
        <v>5.46</v>
      </c>
      <c r="W410">
        <v>3713</v>
      </c>
      <c r="X410">
        <v>3.77</v>
      </c>
      <c r="Y410">
        <v>11.55</v>
      </c>
    </row>
    <row r="411" spans="1:25" x14ac:dyDescent="0.3">
      <c r="A411" t="s">
        <v>26</v>
      </c>
      <c r="B411" t="s">
        <v>32</v>
      </c>
      <c r="C411" t="s">
        <v>38</v>
      </c>
      <c r="D411" s="1">
        <v>44606</v>
      </c>
      <c r="E411">
        <v>31096658</v>
      </c>
      <c r="F411">
        <v>2641</v>
      </c>
      <c r="G411">
        <v>39.6</v>
      </c>
      <c r="H411">
        <v>40563</v>
      </c>
      <c r="I411">
        <v>398111</v>
      </c>
      <c r="J411">
        <v>26149</v>
      </c>
      <c r="K411">
        <v>21524</v>
      </c>
      <c r="L411">
        <v>472</v>
      </c>
      <c r="M411">
        <v>253356</v>
      </c>
      <c r="N411">
        <v>274544</v>
      </c>
      <c r="O411">
        <v>2957</v>
      </c>
      <c r="P411">
        <v>905890</v>
      </c>
      <c r="Q411">
        <v>29.31</v>
      </c>
      <c r="R411">
        <v>29759910</v>
      </c>
      <c r="S411">
        <v>4242546</v>
      </c>
      <c r="T411">
        <v>20587521</v>
      </c>
      <c r="U411">
        <v>17.55</v>
      </c>
      <c r="V411">
        <v>3.68</v>
      </c>
      <c r="W411">
        <v>3304</v>
      </c>
      <c r="X411">
        <v>3.11</v>
      </c>
      <c r="Y411">
        <v>57.02</v>
      </c>
    </row>
    <row r="412" spans="1:25" x14ac:dyDescent="0.3">
      <c r="A412" t="s">
        <v>30</v>
      </c>
      <c r="B412" t="s">
        <v>33</v>
      </c>
      <c r="C412" t="s">
        <v>40</v>
      </c>
      <c r="D412" s="1">
        <v>44607</v>
      </c>
      <c r="E412">
        <v>23245849</v>
      </c>
      <c r="F412">
        <v>12177</v>
      </c>
      <c r="G412">
        <v>45.1</v>
      </c>
      <c r="H412">
        <v>40752</v>
      </c>
      <c r="I412">
        <v>583314</v>
      </c>
      <c r="J412">
        <v>15540</v>
      </c>
      <c r="K412">
        <v>21833</v>
      </c>
      <c r="L412">
        <v>1868</v>
      </c>
      <c r="M412">
        <v>284793</v>
      </c>
      <c r="N412">
        <v>33470</v>
      </c>
      <c r="O412">
        <v>2612</v>
      </c>
      <c r="P412">
        <v>1684757</v>
      </c>
      <c r="Q412">
        <v>22.19</v>
      </c>
      <c r="R412">
        <v>38096191</v>
      </c>
      <c r="S412">
        <v>11649024</v>
      </c>
      <c r="T412">
        <v>22004073</v>
      </c>
      <c r="U412">
        <v>24.72</v>
      </c>
      <c r="V412">
        <v>0.51</v>
      </c>
      <c r="W412">
        <v>3431</v>
      </c>
      <c r="X412">
        <v>2.17</v>
      </c>
      <c r="Y412">
        <v>56.84</v>
      </c>
    </row>
    <row r="413" spans="1:25" x14ac:dyDescent="0.3">
      <c r="A413" t="s">
        <v>27</v>
      </c>
      <c r="B413" t="s">
        <v>36</v>
      </c>
      <c r="C413" t="s">
        <v>39</v>
      </c>
      <c r="D413" s="1">
        <v>44608</v>
      </c>
      <c r="E413">
        <v>46767888</v>
      </c>
      <c r="F413">
        <v>15798</v>
      </c>
      <c r="G413">
        <v>28.4</v>
      </c>
      <c r="H413">
        <v>3567</v>
      </c>
      <c r="I413">
        <v>905574</v>
      </c>
      <c r="J413">
        <v>35676</v>
      </c>
      <c r="K413">
        <v>28807</v>
      </c>
      <c r="L413">
        <v>1807</v>
      </c>
      <c r="M413">
        <v>722427</v>
      </c>
      <c r="N413">
        <v>201003</v>
      </c>
      <c r="O413">
        <v>6047</v>
      </c>
      <c r="P413">
        <v>861359</v>
      </c>
      <c r="Q413">
        <v>7.57</v>
      </c>
      <c r="R413">
        <v>43487349</v>
      </c>
      <c r="S413">
        <v>3637310</v>
      </c>
      <c r="T413">
        <v>22365378</v>
      </c>
      <c r="U413">
        <v>97.37</v>
      </c>
      <c r="V413">
        <v>3.43</v>
      </c>
      <c r="W413">
        <v>2114</v>
      </c>
      <c r="X413">
        <v>3.13</v>
      </c>
      <c r="Y413">
        <v>68.25</v>
      </c>
    </row>
    <row r="414" spans="1:25" x14ac:dyDescent="0.3">
      <c r="A414" t="s">
        <v>30</v>
      </c>
      <c r="B414" t="s">
        <v>36</v>
      </c>
      <c r="C414" t="s">
        <v>38</v>
      </c>
      <c r="D414" s="1">
        <v>44609</v>
      </c>
      <c r="E414">
        <v>32481908</v>
      </c>
      <c r="F414">
        <v>6171</v>
      </c>
      <c r="G414">
        <v>39.6</v>
      </c>
      <c r="H414">
        <v>17121</v>
      </c>
      <c r="I414">
        <v>568256</v>
      </c>
      <c r="J414">
        <v>4712</v>
      </c>
      <c r="K414">
        <v>6459</v>
      </c>
      <c r="L414">
        <v>552</v>
      </c>
      <c r="M414">
        <v>141780</v>
      </c>
      <c r="N414">
        <v>27309</v>
      </c>
      <c r="O414">
        <v>6249</v>
      </c>
      <c r="P414">
        <v>479076</v>
      </c>
      <c r="Q414">
        <v>7.82</v>
      </c>
      <c r="R414">
        <v>26791837</v>
      </c>
      <c r="S414">
        <v>11011831</v>
      </c>
      <c r="T414">
        <v>14746205</v>
      </c>
      <c r="U414">
        <v>39.72</v>
      </c>
      <c r="V414">
        <v>3.15</v>
      </c>
      <c r="W414">
        <v>4315</v>
      </c>
      <c r="X414">
        <v>1.77</v>
      </c>
      <c r="Y414">
        <v>8.5399999999999991</v>
      </c>
    </row>
    <row r="415" spans="1:25" x14ac:dyDescent="0.3">
      <c r="A415" t="s">
        <v>27</v>
      </c>
      <c r="B415" t="s">
        <v>35</v>
      </c>
      <c r="C415" t="s">
        <v>41</v>
      </c>
      <c r="D415" s="1">
        <v>44610</v>
      </c>
      <c r="E415">
        <v>24175262</v>
      </c>
      <c r="F415">
        <v>1250</v>
      </c>
      <c r="G415">
        <v>37</v>
      </c>
      <c r="H415">
        <v>2674</v>
      </c>
      <c r="I415">
        <v>696457</v>
      </c>
      <c r="J415">
        <v>26201</v>
      </c>
      <c r="K415">
        <v>1735</v>
      </c>
      <c r="L415">
        <v>1633</v>
      </c>
      <c r="M415">
        <v>197670</v>
      </c>
      <c r="N415">
        <v>495147</v>
      </c>
      <c r="O415">
        <v>3759</v>
      </c>
      <c r="P415">
        <v>1954186</v>
      </c>
      <c r="Q415">
        <v>19.37</v>
      </c>
      <c r="R415">
        <v>33426366</v>
      </c>
      <c r="S415">
        <v>2125542</v>
      </c>
      <c r="T415">
        <v>14833479</v>
      </c>
      <c r="U415">
        <v>59.9</v>
      </c>
      <c r="V415">
        <v>4.24</v>
      </c>
      <c r="W415">
        <v>4034</v>
      </c>
      <c r="X415">
        <v>0.24</v>
      </c>
      <c r="Y415">
        <v>62.65</v>
      </c>
    </row>
    <row r="416" spans="1:25" x14ac:dyDescent="0.3">
      <c r="A416" t="s">
        <v>30</v>
      </c>
      <c r="B416" t="s">
        <v>35</v>
      </c>
      <c r="C416" t="s">
        <v>41</v>
      </c>
      <c r="D416" s="1">
        <v>44611</v>
      </c>
      <c r="E416">
        <v>20354315</v>
      </c>
      <c r="F416">
        <v>15771</v>
      </c>
      <c r="G416">
        <v>37.299999999999997</v>
      </c>
      <c r="H416">
        <v>67275</v>
      </c>
      <c r="I416">
        <v>409548</v>
      </c>
      <c r="J416">
        <v>44958</v>
      </c>
      <c r="K416">
        <v>15880</v>
      </c>
      <c r="L416">
        <v>694</v>
      </c>
      <c r="M416">
        <v>371678</v>
      </c>
      <c r="N416">
        <v>283171</v>
      </c>
      <c r="O416">
        <v>7718</v>
      </c>
      <c r="P416">
        <v>243726</v>
      </c>
      <c r="Q416">
        <v>3.53</v>
      </c>
      <c r="R416">
        <v>49617777</v>
      </c>
      <c r="S416">
        <v>22683873</v>
      </c>
      <c r="T416">
        <v>20629126</v>
      </c>
      <c r="U416">
        <v>24.15</v>
      </c>
      <c r="V416">
        <v>1.75</v>
      </c>
      <c r="W416">
        <v>3937</v>
      </c>
      <c r="X416">
        <v>2.04</v>
      </c>
      <c r="Y416">
        <v>28.08</v>
      </c>
    </row>
    <row r="417" spans="1:25" x14ac:dyDescent="0.3">
      <c r="A417" t="s">
        <v>28</v>
      </c>
      <c r="B417" t="s">
        <v>34</v>
      </c>
      <c r="C417" t="s">
        <v>40</v>
      </c>
      <c r="D417" s="1">
        <v>44612</v>
      </c>
      <c r="E417">
        <v>3344180</v>
      </c>
      <c r="F417">
        <v>19288</v>
      </c>
      <c r="G417">
        <v>39.799999999999997</v>
      </c>
      <c r="H417">
        <v>68081</v>
      </c>
      <c r="I417">
        <v>146693</v>
      </c>
      <c r="J417">
        <v>19899</v>
      </c>
      <c r="K417">
        <v>9314</v>
      </c>
      <c r="L417">
        <v>1663</v>
      </c>
      <c r="M417">
        <v>181064</v>
      </c>
      <c r="N417">
        <v>34679</v>
      </c>
      <c r="O417">
        <v>4263</v>
      </c>
      <c r="P417">
        <v>1352387</v>
      </c>
      <c r="Q417">
        <v>28.45</v>
      </c>
      <c r="R417">
        <v>21063719</v>
      </c>
      <c r="S417">
        <v>19456844</v>
      </c>
      <c r="T417">
        <v>16230649</v>
      </c>
      <c r="U417">
        <v>49.05</v>
      </c>
      <c r="V417">
        <v>5.32</v>
      </c>
      <c r="W417">
        <v>389</v>
      </c>
      <c r="X417">
        <v>4.66</v>
      </c>
      <c r="Y417">
        <v>50.7</v>
      </c>
    </row>
    <row r="418" spans="1:25" x14ac:dyDescent="0.3">
      <c r="A418" t="s">
        <v>26</v>
      </c>
      <c r="B418" t="s">
        <v>32</v>
      </c>
      <c r="C418" t="s">
        <v>40</v>
      </c>
      <c r="D418" s="1">
        <v>44613</v>
      </c>
      <c r="E418">
        <v>11510186</v>
      </c>
      <c r="F418">
        <v>11137</v>
      </c>
      <c r="G418">
        <v>36.4</v>
      </c>
      <c r="H418">
        <v>30140</v>
      </c>
      <c r="I418">
        <v>602158</v>
      </c>
      <c r="J418">
        <v>19787</v>
      </c>
      <c r="K418">
        <v>7532</v>
      </c>
      <c r="L418">
        <v>1252</v>
      </c>
      <c r="M418">
        <v>21451</v>
      </c>
      <c r="N418">
        <v>271276</v>
      </c>
      <c r="O418">
        <v>1902</v>
      </c>
      <c r="P418">
        <v>722202</v>
      </c>
      <c r="Q418">
        <v>6.74</v>
      </c>
      <c r="R418">
        <v>28476576</v>
      </c>
      <c r="S418">
        <v>14953080</v>
      </c>
      <c r="T418">
        <v>24045714</v>
      </c>
      <c r="U418">
        <v>7.41</v>
      </c>
      <c r="V418">
        <v>7.08</v>
      </c>
      <c r="W418">
        <v>4871</v>
      </c>
      <c r="X418">
        <v>3.17</v>
      </c>
      <c r="Y418">
        <v>77.33</v>
      </c>
    </row>
    <row r="419" spans="1:25" x14ac:dyDescent="0.3">
      <c r="A419" t="s">
        <v>31</v>
      </c>
      <c r="B419" t="s">
        <v>35</v>
      </c>
      <c r="C419" t="s">
        <v>39</v>
      </c>
      <c r="D419" s="1">
        <v>44614</v>
      </c>
      <c r="E419">
        <v>47030918</v>
      </c>
      <c r="F419">
        <v>7022</v>
      </c>
      <c r="G419">
        <v>31.7</v>
      </c>
      <c r="H419">
        <v>10327</v>
      </c>
      <c r="I419">
        <v>543462</v>
      </c>
      <c r="J419">
        <v>20982</v>
      </c>
      <c r="K419">
        <v>13673</v>
      </c>
      <c r="L419">
        <v>316</v>
      </c>
      <c r="M419">
        <v>180492</v>
      </c>
      <c r="N419">
        <v>93354</v>
      </c>
      <c r="O419">
        <v>2567</v>
      </c>
      <c r="P419">
        <v>1478635</v>
      </c>
      <c r="Q419">
        <v>29.99</v>
      </c>
      <c r="R419">
        <v>36203198</v>
      </c>
      <c r="S419">
        <v>26832919</v>
      </c>
      <c r="T419">
        <v>20348249</v>
      </c>
      <c r="U419">
        <v>3.47</v>
      </c>
      <c r="V419">
        <v>6.49</v>
      </c>
      <c r="W419">
        <v>3831</v>
      </c>
      <c r="X419">
        <v>0.51</v>
      </c>
      <c r="Y419">
        <v>70.56</v>
      </c>
    </row>
    <row r="420" spans="1:25" x14ac:dyDescent="0.3">
      <c r="A420" t="s">
        <v>27</v>
      </c>
      <c r="B420" t="s">
        <v>36</v>
      </c>
      <c r="C420" t="s">
        <v>39</v>
      </c>
      <c r="D420" s="1">
        <v>44615</v>
      </c>
      <c r="E420">
        <v>15648530</v>
      </c>
      <c r="F420">
        <v>186</v>
      </c>
      <c r="G420">
        <v>26.8</v>
      </c>
      <c r="H420">
        <v>24331</v>
      </c>
      <c r="I420">
        <v>911789</v>
      </c>
      <c r="J420">
        <v>22606</v>
      </c>
      <c r="K420">
        <v>4794</v>
      </c>
      <c r="L420">
        <v>597</v>
      </c>
      <c r="M420">
        <v>571554</v>
      </c>
      <c r="N420">
        <v>340657</v>
      </c>
      <c r="O420">
        <v>8075</v>
      </c>
      <c r="P420">
        <v>707168</v>
      </c>
      <c r="Q420">
        <v>14.87</v>
      </c>
      <c r="R420">
        <v>32360984</v>
      </c>
      <c r="S420">
        <v>9092054</v>
      </c>
      <c r="T420">
        <v>28131726</v>
      </c>
      <c r="U420">
        <v>46.87</v>
      </c>
      <c r="V420">
        <v>8.14</v>
      </c>
      <c r="W420">
        <v>3640</v>
      </c>
      <c r="X420">
        <v>4.4400000000000004</v>
      </c>
      <c r="Y420">
        <v>11.89</v>
      </c>
    </row>
    <row r="421" spans="1:25" x14ac:dyDescent="0.3">
      <c r="A421" t="s">
        <v>27</v>
      </c>
      <c r="B421" t="s">
        <v>33</v>
      </c>
      <c r="C421" t="s">
        <v>37</v>
      </c>
      <c r="D421" s="1">
        <v>44616</v>
      </c>
      <c r="E421">
        <v>39120544</v>
      </c>
      <c r="F421">
        <v>17463</v>
      </c>
      <c r="G421">
        <v>42.6</v>
      </c>
      <c r="H421">
        <v>24004</v>
      </c>
      <c r="I421">
        <v>886621</v>
      </c>
      <c r="J421">
        <v>10150</v>
      </c>
      <c r="K421">
        <v>9482</v>
      </c>
      <c r="L421">
        <v>767</v>
      </c>
      <c r="M421">
        <v>843946</v>
      </c>
      <c r="N421">
        <v>434047</v>
      </c>
      <c r="O421">
        <v>2994</v>
      </c>
      <c r="P421">
        <v>1473335</v>
      </c>
      <c r="Q421">
        <v>23.14</v>
      </c>
      <c r="R421">
        <v>11565475</v>
      </c>
      <c r="S421">
        <v>33785792</v>
      </c>
      <c r="T421">
        <v>161101</v>
      </c>
      <c r="U421">
        <v>39.869999999999997</v>
      </c>
      <c r="V421">
        <v>4.79</v>
      </c>
      <c r="W421">
        <v>1983</v>
      </c>
      <c r="X421">
        <v>1.42</v>
      </c>
      <c r="Y421">
        <v>59.12</v>
      </c>
    </row>
    <row r="422" spans="1:25" x14ac:dyDescent="0.3">
      <c r="A422" t="s">
        <v>31</v>
      </c>
      <c r="B422" t="s">
        <v>36</v>
      </c>
      <c r="C422" t="s">
        <v>39</v>
      </c>
      <c r="D422" s="1">
        <v>44617</v>
      </c>
      <c r="E422">
        <v>10561403</v>
      </c>
      <c r="F422">
        <v>15396</v>
      </c>
      <c r="G422">
        <v>25.2</v>
      </c>
      <c r="H422">
        <v>11492</v>
      </c>
      <c r="I422">
        <v>565790</v>
      </c>
      <c r="J422">
        <v>20393</v>
      </c>
      <c r="K422">
        <v>28962</v>
      </c>
      <c r="L422">
        <v>1744</v>
      </c>
      <c r="M422">
        <v>159923</v>
      </c>
      <c r="N422">
        <v>113628</v>
      </c>
      <c r="O422">
        <v>5229</v>
      </c>
      <c r="P422">
        <v>466996</v>
      </c>
      <c r="Q422">
        <v>7.0000000000000007E-2</v>
      </c>
      <c r="R422">
        <v>42660503</v>
      </c>
      <c r="S422">
        <v>24342688</v>
      </c>
      <c r="T422">
        <v>2700463</v>
      </c>
      <c r="U422">
        <v>13.69</v>
      </c>
      <c r="V422">
        <v>5.43</v>
      </c>
      <c r="W422">
        <v>1695</v>
      </c>
      <c r="X422">
        <v>1.29</v>
      </c>
      <c r="Y422">
        <v>96.91</v>
      </c>
    </row>
    <row r="423" spans="1:25" x14ac:dyDescent="0.3">
      <c r="A423" t="s">
        <v>30</v>
      </c>
      <c r="B423" t="s">
        <v>32</v>
      </c>
      <c r="C423" t="s">
        <v>37</v>
      </c>
      <c r="D423" s="1">
        <v>44618</v>
      </c>
      <c r="E423">
        <v>21371102</v>
      </c>
      <c r="F423">
        <v>19028</v>
      </c>
      <c r="G423">
        <v>40.200000000000003</v>
      </c>
      <c r="H423">
        <v>55797</v>
      </c>
      <c r="I423">
        <v>299818</v>
      </c>
      <c r="J423">
        <v>37259</v>
      </c>
      <c r="K423">
        <v>10065</v>
      </c>
      <c r="L423">
        <v>1750</v>
      </c>
      <c r="M423">
        <v>477932</v>
      </c>
      <c r="N423">
        <v>223374</v>
      </c>
      <c r="O423">
        <v>2010</v>
      </c>
      <c r="P423">
        <v>1056187</v>
      </c>
      <c r="Q423">
        <v>26.66</v>
      </c>
      <c r="R423">
        <v>13088862</v>
      </c>
      <c r="S423">
        <v>22930686</v>
      </c>
      <c r="T423">
        <v>14076028</v>
      </c>
      <c r="U423">
        <v>68.760000000000005</v>
      </c>
      <c r="V423">
        <v>8.1999999999999993</v>
      </c>
      <c r="W423">
        <v>4278</v>
      </c>
      <c r="X423">
        <v>1.56</v>
      </c>
      <c r="Y423">
        <v>15.68</v>
      </c>
    </row>
    <row r="424" spans="1:25" x14ac:dyDescent="0.3">
      <c r="A424" t="s">
        <v>27</v>
      </c>
      <c r="B424" t="s">
        <v>36</v>
      </c>
      <c r="C424" t="s">
        <v>38</v>
      </c>
      <c r="D424" s="1">
        <v>44619</v>
      </c>
      <c r="E424">
        <v>28605186</v>
      </c>
      <c r="F424">
        <v>711</v>
      </c>
      <c r="G424">
        <v>25.5</v>
      </c>
      <c r="H424">
        <v>59095</v>
      </c>
      <c r="I424">
        <v>562548</v>
      </c>
      <c r="J424">
        <v>46687</v>
      </c>
      <c r="K424">
        <v>29518</v>
      </c>
      <c r="L424">
        <v>885</v>
      </c>
      <c r="M424">
        <v>443102</v>
      </c>
      <c r="N424">
        <v>447083</v>
      </c>
      <c r="O424">
        <v>7377</v>
      </c>
      <c r="P424">
        <v>1399962</v>
      </c>
      <c r="Q424">
        <v>8.1</v>
      </c>
      <c r="R424">
        <v>34794937</v>
      </c>
      <c r="S424">
        <v>19617905</v>
      </c>
      <c r="T424">
        <v>17615610</v>
      </c>
      <c r="U424">
        <v>99.29</v>
      </c>
      <c r="V424">
        <v>4.5599999999999996</v>
      </c>
      <c r="W424">
        <v>2737</v>
      </c>
      <c r="X424">
        <v>2.93</v>
      </c>
      <c r="Y424">
        <v>85.29</v>
      </c>
    </row>
    <row r="425" spans="1:25" x14ac:dyDescent="0.3">
      <c r="A425" t="s">
        <v>25</v>
      </c>
      <c r="B425" t="s">
        <v>34</v>
      </c>
      <c r="C425" t="s">
        <v>40</v>
      </c>
      <c r="D425" s="1">
        <v>44620</v>
      </c>
      <c r="E425">
        <v>43005100</v>
      </c>
      <c r="F425">
        <v>2522</v>
      </c>
      <c r="G425">
        <v>38</v>
      </c>
      <c r="H425">
        <v>14749</v>
      </c>
      <c r="I425">
        <v>961002</v>
      </c>
      <c r="J425">
        <v>46936</v>
      </c>
      <c r="K425">
        <v>12686</v>
      </c>
      <c r="L425">
        <v>1635</v>
      </c>
      <c r="M425">
        <v>611910</v>
      </c>
      <c r="N425">
        <v>386160</v>
      </c>
      <c r="O425">
        <v>830</v>
      </c>
      <c r="P425">
        <v>1920620</v>
      </c>
      <c r="Q425">
        <v>20.04</v>
      </c>
      <c r="R425">
        <v>26550182</v>
      </c>
      <c r="S425">
        <v>37358811</v>
      </c>
      <c r="T425">
        <v>28686733</v>
      </c>
      <c r="U425">
        <v>39.56</v>
      </c>
      <c r="V425">
        <v>7.17</v>
      </c>
      <c r="W425">
        <v>4968</v>
      </c>
      <c r="X425">
        <v>2.77</v>
      </c>
      <c r="Y425">
        <v>70.25</v>
      </c>
    </row>
    <row r="426" spans="1:25" x14ac:dyDescent="0.3">
      <c r="A426" t="s">
        <v>28</v>
      </c>
      <c r="B426" t="s">
        <v>32</v>
      </c>
      <c r="C426" t="s">
        <v>38</v>
      </c>
      <c r="D426" s="1">
        <v>44621</v>
      </c>
      <c r="E426">
        <v>5801358</v>
      </c>
      <c r="F426">
        <v>136</v>
      </c>
      <c r="G426">
        <v>41.9</v>
      </c>
      <c r="H426">
        <v>64217</v>
      </c>
      <c r="I426">
        <v>723969</v>
      </c>
      <c r="J426">
        <v>27750</v>
      </c>
      <c r="K426">
        <v>25202</v>
      </c>
      <c r="L426">
        <v>560</v>
      </c>
      <c r="M426">
        <v>796240</v>
      </c>
      <c r="N426">
        <v>238392</v>
      </c>
      <c r="O426">
        <v>48</v>
      </c>
      <c r="P426">
        <v>1882910</v>
      </c>
      <c r="Q426">
        <v>24.19</v>
      </c>
      <c r="R426">
        <v>45069869</v>
      </c>
      <c r="S426">
        <v>24322404</v>
      </c>
      <c r="T426">
        <v>22631985</v>
      </c>
      <c r="U426">
        <v>62.46</v>
      </c>
      <c r="V426">
        <v>4.63</v>
      </c>
      <c r="W426">
        <v>2176</v>
      </c>
      <c r="X426">
        <v>2.5099999999999998</v>
      </c>
      <c r="Y426">
        <v>77.400000000000006</v>
      </c>
    </row>
    <row r="427" spans="1:25" x14ac:dyDescent="0.3">
      <c r="A427" t="s">
        <v>26</v>
      </c>
      <c r="B427" t="s">
        <v>33</v>
      </c>
      <c r="C427" t="s">
        <v>39</v>
      </c>
      <c r="D427" s="1">
        <v>44622</v>
      </c>
      <c r="E427">
        <v>18783361</v>
      </c>
      <c r="F427">
        <v>10754</v>
      </c>
      <c r="G427">
        <v>25</v>
      </c>
      <c r="H427">
        <v>10045</v>
      </c>
      <c r="I427">
        <v>705824</v>
      </c>
      <c r="J427">
        <v>8593</v>
      </c>
      <c r="K427">
        <v>24732</v>
      </c>
      <c r="L427">
        <v>1224</v>
      </c>
      <c r="M427">
        <v>846184</v>
      </c>
      <c r="N427">
        <v>334546</v>
      </c>
      <c r="O427">
        <v>4210</v>
      </c>
      <c r="P427">
        <v>772812</v>
      </c>
      <c r="Q427">
        <v>4.92</v>
      </c>
      <c r="R427">
        <v>38083532</v>
      </c>
      <c r="S427">
        <v>7452840</v>
      </c>
      <c r="T427">
        <v>469596</v>
      </c>
      <c r="U427">
        <v>96.3</v>
      </c>
      <c r="V427">
        <v>4.47</v>
      </c>
      <c r="W427">
        <v>4491</v>
      </c>
      <c r="X427">
        <v>3.62</v>
      </c>
      <c r="Y427">
        <v>28.2</v>
      </c>
    </row>
    <row r="428" spans="1:25" x14ac:dyDescent="0.3">
      <c r="A428" t="s">
        <v>31</v>
      </c>
      <c r="B428" t="s">
        <v>34</v>
      </c>
      <c r="C428" t="s">
        <v>38</v>
      </c>
      <c r="D428" s="1">
        <v>44623</v>
      </c>
      <c r="E428">
        <v>19925418</v>
      </c>
      <c r="F428">
        <v>6269</v>
      </c>
      <c r="G428">
        <v>19.899999999999999</v>
      </c>
      <c r="H428">
        <v>21116</v>
      </c>
      <c r="I428">
        <v>597093</v>
      </c>
      <c r="J428">
        <v>17358</v>
      </c>
      <c r="K428">
        <v>7456</v>
      </c>
      <c r="L428">
        <v>1971</v>
      </c>
      <c r="M428">
        <v>468861</v>
      </c>
      <c r="N428">
        <v>181126</v>
      </c>
      <c r="O428">
        <v>1178</v>
      </c>
      <c r="P428">
        <v>1344763</v>
      </c>
      <c r="Q428">
        <v>13.28</v>
      </c>
      <c r="R428">
        <v>22557321</v>
      </c>
      <c r="S428">
        <v>21081611</v>
      </c>
      <c r="T428">
        <v>1133435</v>
      </c>
      <c r="U428">
        <v>83.15</v>
      </c>
      <c r="V428">
        <v>7.72</v>
      </c>
      <c r="W428">
        <v>4754</v>
      </c>
      <c r="X428">
        <v>1.65</v>
      </c>
      <c r="Y428">
        <v>28.79</v>
      </c>
    </row>
    <row r="429" spans="1:25" x14ac:dyDescent="0.3">
      <c r="A429" t="s">
        <v>26</v>
      </c>
      <c r="B429" t="s">
        <v>32</v>
      </c>
      <c r="C429" t="s">
        <v>38</v>
      </c>
      <c r="D429" s="1">
        <v>44624</v>
      </c>
      <c r="E429">
        <v>18470147</v>
      </c>
      <c r="F429">
        <v>16372</v>
      </c>
      <c r="G429">
        <v>22.2</v>
      </c>
      <c r="H429">
        <v>19667</v>
      </c>
      <c r="I429">
        <v>196991</v>
      </c>
      <c r="J429">
        <v>16607</v>
      </c>
      <c r="K429">
        <v>4735</v>
      </c>
      <c r="L429">
        <v>257</v>
      </c>
      <c r="M429">
        <v>83711</v>
      </c>
      <c r="N429">
        <v>248442</v>
      </c>
      <c r="O429">
        <v>5768</v>
      </c>
      <c r="P429">
        <v>137343</v>
      </c>
      <c r="Q429">
        <v>14.82</v>
      </c>
      <c r="R429">
        <v>45346774</v>
      </c>
      <c r="S429">
        <v>28148680</v>
      </c>
      <c r="T429">
        <v>11580293</v>
      </c>
      <c r="U429">
        <v>46.36</v>
      </c>
      <c r="V429">
        <v>2.16</v>
      </c>
      <c r="W429">
        <v>688</v>
      </c>
      <c r="X429">
        <v>3.93</v>
      </c>
      <c r="Y429">
        <v>90.6</v>
      </c>
    </row>
    <row r="430" spans="1:25" x14ac:dyDescent="0.3">
      <c r="A430" t="s">
        <v>25</v>
      </c>
      <c r="B430" t="s">
        <v>33</v>
      </c>
      <c r="C430" t="s">
        <v>38</v>
      </c>
      <c r="D430" s="1">
        <v>44625</v>
      </c>
      <c r="E430">
        <v>48405202</v>
      </c>
      <c r="F430">
        <v>14799</v>
      </c>
      <c r="G430">
        <v>37.4</v>
      </c>
      <c r="H430">
        <v>28302</v>
      </c>
      <c r="I430">
        <v>784924</v>
      </c>
      <c r="J430">
        <v>37381</v>
      </c>
      <c r="K430">
        <v>20071</v>
      </c>
      <c r="L430">
        <v>1503</v>
      </c>
      <c r="M430">
        <v>421780</v>
      </c>
      <c r="N430">
        <v>219537</v>
      </c>
      <c r="O430">
        <v>7878</v>
      </c>
      <c r="P430">
        <v>860299</v>
      </c>
      <c r="Q430">
        <v>9.36</v>
      </c>
      <c r="R430">
        <v>49051089</v>
      </c>
      <c r="S430">
        <v>9506954</v>
      </c>
      <c r="T430">
        <v>12403632</v>
      </c>
      <c r="U430">
        <v>73.75</v>
      </c>
      <c r="V430">
        <v>3.72</v>
      </c>
      <c r="W430">
        <v>1274</v>
      </c>
      <c r="X430">
        <v>0.96</v>
      </c>
      <c r="Y430">
        <v>35.979999999999997</v>
      </c>
    </row>
    <row r="431" spans="1:25" x14ac:dyDescent="0.3">
      <c r="A431" t="s">
        <v>27</v>
      </c>
      <c r="B431" t="s">
        <v>34</v>
      </c>
      <c r="C431" t="s">
        <v>39</v>
      </c>
      <c r="D431" s="1">
        <v>44626</v>
      </c>
      <c r="E431">
        <v>5389084</v>
      </c>
      <c r="F431">
        <v>7018</v>
      </c>
      <c r="G431">
        <v>45.2</v>
      </c>
      <c r="H431">
        <v>12283</v>
      </c>
      <c r="I431">
        <v>186541</v>
      </c>
      <c r="J431">
        <v>24811</v>
      </c>
      <c r="K431">
        <v>47547</v>
      </c>
      <c r="L431">
        <v>1911</v>
      </c>
      <c r="M431">
        <v>447595</v>
      </c>
      <c r="N431">
        <v>348001</v>
      </c>
      <c r="O431">
        <v>70</v>
      </c>
      <c r="P431">
        <v>340233</v>
      </c>
      <c r="Q431">
        <v>14.45</v>
      </c>
      <c r="R431">
        <v>5116191</v>
      </c>
      <c r="S431">
        <v>30384274</v>
      </c>
      <c r="T431">
        <v>4058518</v>
      </c>
      <c r="U431">
        <v>12.81</v>
      </c>
      <c r="V431">
        <v>2.63</v>
      </c>
      <c r="W431">
        <v>3755</v>
      </c>
      <c r="X431">
        <v>3.93</v>
      </c>
      <c r="Y431">
        <v>6.3</v>
      </c>
    </row>
    <row r="432" spans="1:25" x14ac:dyDescent="0.3">
      <c r="A432" t="s">
        <v>27</v>
      </c>
      <c r="B432" t="s">
        <v>34</v>
      </c>
      <c r="C432" t="s">
        <v>38</v>
      </c>
      <c r="D432" s="1">
        <v>44627</v>
      </c>
      <c r="E432">
        <v>41187888</v>
      </c>
      <c r="F432">
        <v>19207</v>
      </c>
      <c r="G432">
        <v>19.399999999999999</v>
      </c>
      <c r="H432">
        <v>31935</v>
      </c>
      <c r="I432">
        <v>18194</v>
      </c>
      <c r="J432">
        <v>28074</v>
      </c>
      <c r="K432">
        <v>22681</v>
      </c>
      <c r="L432">
        <v>1201</v>
      </c>
      <c r="M432">
        <v>127034</v>
      </c>
      <c r="N432">
        <v>418418</v>
      </c>
      <c r="O432">
        <v>7686</v>
      </c>
      <c r="P432">
        <v>846177</v>
      </c>
      <c r="Q432">
        <v>9.5299999999999994</v>
      </c>
      <c r="R432">
        <v>47009632</v>
      </c>
      <c r="S432">
        <v>11508917</v>
      </c>
      <c r="T432">
        <v>21801691</v>
      </c>
      <c r="U432">
        <v>51.21</v>
      </c>
      <c r="V432">
        <v>3.91</v>
      </c>
      <c r="W432">
        <v>3960</v>
      </c>
      <c r="X432">
        <v>3.35</v>
      </c>
      <c r="Y432">
        <v>60.06</v>
      </c>
    </row>
    <row r="433" spans="1:25" x14ac:dyDescent="0.3">
      <c r="A433" t="s">
        <v>25</v>
      </c>
      <c r="B433" t="s">
        <v>32</v>
      </c>
      <c r="C433" t="s">
        <v>37</v>
      </c>
      <c r="D433" s="1">
        <v>44628</v>
      </c>
      <c r="E433">
        <v>1371522</v>
      </c>
      <c r="F433">
        <v>13646</v>
      </c>
      <c r="G433">
        <v>41.5</v>
      </c>
      <c r="H433">
        <v>32624</v>
      </c>
      <c r="I433">
        <v>683171</v>
      </c>
      <c r="J433">
        <v>20595</v>
      </c>
      <c r="K433">
        <v>1419</v>
      </c>
      <c r="L433">
        <v>756</v>
      </c>
      <c r="M433">
        <v>533508</v>
      </c>
      <c r="N433">
        <v>427749</v>
      </c>
      <c r="O433">
        <v>7879</v>
      </c>
      <c r="P433">
        <v>1539668</v>
      </c>
      <c r="Q433">
        <v>10.82</v>
      </c>
      <c r="R433">
        <v>24177167</v>
      </c>
      <c r="S433">
        <v>799800</v>
      </c>
      <c r="T433">
        <v>12883789</v>
      </c>
      <c r="U433">
        <v>27.91</v>
      </c>
      <c r="V433">
        <v>2.69</v>
      </c>
      <c r="W433">
        <v>4295</v>
      </c>
      <c r="X433">
        <v>3.45</v>
      </c>
      <c r="Y433">
        <v>12.48</v>
      </c>
    </row>
    <row r="434" spans="1:25" x14ac:dyDescent="0.3">
      <c r="A434" t="s">
        <v>31</v>
      </c>
      <c r="B434" t="s">
        <v>35</v>
      </c>
      <c r="C434" t="s">
        <v>39</v>
      </c>
      <c r="D434" s="1">
        <v>44629</v>
      </c>
      <c r="E434">
        <v>23326747</v>
      </c>
      <c r="F434">
        <v>1750</v>
      </c>
      <c r="G434">
        <v>28.9</v>
      </c>
      <c r="H434">
        <v>14440</v>
      </c>
      <c r="I434">
        <v>859809</v>
      </c>
      <c r="J434">
        <v>44194</v>
      </c>
      <c r="K434">
        <v>8215</v>
      </c>
      <c r="L434">
        <v>122</v>
      </c>
      <c r="M434">
        <v>388848</v>
      </c>
      <c r="N434">
        <v>278176</v>
      </c>
      <c r="O434">
        <v>5455</v>
      </c>
      <c r="P434">
        <v>980581</v>
      </c>
      <c r="Q434">
        <v>20.079999999999998</v>
      </c>
      <c r="R434">
        <v>30372881</v>
      </c>
      <c r="S434">
        <v>8174433</v>
      </c>
      <c r="T434">
        <v>19444045</v>
      </c>
      <c r="U434">
        <v>16.12</v>
      </c>
      <c r="V434">
        <v>6</v>
      </c>
      <c r="W434">
        <v>1599</v>
      </c>
      <c r="X434">
        <v>2.46</v>
      </c>
      <c r="Y434">
        <v>79.66</v>
      </c>
    </row>
    <row r="435" spans="1:25" x14ac:dyDescent="0.3">
      <c r="A435" t="s">
        <v>28</v>
      </c>
      <c r="B435" t="s">
        <v>34</v>
      </c>
      <c r="C435" t="s">
        <v>38</v>
      </c>
      <c r="D435" s="1">
        <v>44630</v>
      </c>
      <c r="E435">
        <v>16023665</v>
      </c>
      <c r="F435">
        <v>2750</v>
      </c>
      <c r="G435">
        <v>33.299999999999997</v>
      </c>
      <c r="H435">
        <v>47501</v>
      </c>
      <c r="I435">
        <v>656152</v>
      </c>
      <c r="J435">
        <v>49377</v>
      </c>
      <c r="K435">
        <v>16375</v>
      </c>
      <c r="L435">
        <v>341</v>
      </c>
      <c r="M435">
        <v>436656</v>
      </c>
      <c r="N435">
        <v>287958</v>
      </c>
      <c r="O435">
        <v>8258</v>
      </c>
      <c r="P435">
        <v>1239767</v>
      </c>
      <c r="Q435">
        <v>18.98</v>
      </c>
      <c r="R435">
        <v>1392775</v>
      </c>
      <c r="S435">
        <v>25214662</v>
      </c>
      <c r="T435">
        <v>29520915</v>
      </c>
      <c r="U435">
        <v>42.63</v>
      </c>
      <c r="V435">
        <v>8.08</v>
      </c>
      <c r="W435">
        <v>4195</v>
      </c>
      <c r="X435">
        <v>3.37</v>
      </c>
      <c r="Y435">
        <v>64.17</v>
      </c>
    </row>
    <row r="436" spans="1:25" x14ac:dyDescent="0.3">
      <c r="A436" t="s">
        <v>29</v>
      </c>
      <c r="B436" t="s">
        <v>34</v>
      </c>
      <c r="C436" t="s">
        <v>39</v>
      </c>
      <c r="D436" s="1">
        <v>44631</v>
      </c>
      <c r="E436">
        <v>30038040</v>
      </c>
      <c r="F436">
        <v>11871</v>
      </c>
      <c r="G436">
        <v>47.7</v>
      </c>
      <c r="H436">
        <v>2269</v>
      </c>
      <c r="I436">
        <v>519953</v>
      </c>
      <c r="J436">
        <v>26853</v>
      </c>
      <c r="K436">
        <v>266</v>
      </c>
      <c r="L436">
        <v>1194</v>
      </c>
      <c r="M436">
        <v>604781</v>
      </c>
      <c r="N436">
        <v>57903</v>
      </c>
      <c r="O436">
        <v>5612</v>
      </c>
      <c r="P436">
        <v>1716509</v>
      </c>
      <c r="Q436">
        <v>6.97</v>
      </c>
      <c r="R436">
        <v>19335145</v>
      </c>
      <c r="S436">
        <v>36283059</v>
      </c>
      <c r="T436">
        <v>24811724</v>
      </c>
      <c r="U436">
        <v>13.1</v>
      </c>
      <c r="V436">
        <v>7.97</v>
      </c>
      <c r="W436">
        <v>1555</v>
      </c>
      <c r="X436">
        <v>0.49</v>
      </c>
      <c r="Y436">
        <v>87.47</v>
      </c>
    </row>
    <row r="437" spans="1:25" x14ac:dyDescent="0.3">
      <c r="A437" t="s">
        <v>31</v>
      </c>
      <c r="B437" t="s">
        <v>33</v>
      </c>
      <c r="C437" t="s">
        <v>41</v>
      </c>
      <c r="D437" s="1">
        <v>44632</v>
      </c>
      <c r="E437">
        <v>48910263</v>
      </c>
      <c r="F437">
        <v>18081</v>
      </c>
      <c r="G437">
        <v>28.6</v>
      </c>
      <c r="H437">
        <v>8868</v>
      </c>
      <c r="I437">
        <v>569011</v>
      </c>
      <c r="J437">
        <v>8183</v>
      </c>
      <c r="K437">
        <v>15714</v>
      </c>
      <c r="L437">
        <v>1868</v>
      </c>
      <c r="M437">
        <v>309757</v>
      </c>
      <c r="N437">
        <v>433059</v>
      </c>
      <c r="O437">
        <v>5769</v>
      </c>
      <c r="P437">
        <v>1726345</v>
      </c>
      <c r="Q437">
        <v>26.92</v>
      </c>
      <c r="R437">
        <v>19174647</v>
      </c>
      <c r="S437">
        <v>12682241</v>
      </c>
      <c r="T437">
        <v>13426266</v>
      </c>
      <c r="U437">
        <v>69.900000000000006</v>
      </c>
      <c r="V437">
        <v>3.96</v>
      </c>
      <c r="W437">
        <v>4480</v>
      </c>
      <c r="X437">
        <v>4.2699999999999996</v>
      </c>
      <c r="Y437">
        <v>78.48</v>
      </c>
    </row>
    <row r="438" spans="1:25" x14ac:dyDescent="0.3">
      <c r="A438" t="s">
        <v>29</v>
      </c>
      <c r="B438" t="s">
        <v>36</v>
      </c>
      <c r="C438" t="s">
        <v>37</v>
      </c>
      <c r="D438" s="1">
        <v>44633</v>
      </c>
      <c r="E438">
        <v>48970777</v>
      </c>
      <c r="F438">
        <v>5570</v>
      </c>
      <c r="G438">
        <v>32.9</v>
      </c>
      <c r="H438">
        <v>31251</v>
      </c>
      <c r="I438">
        <v>232408</v>
      </c>
      <c r="J438">
        <v>20661</v>
      </c>
      <c r="K438">
        <v>29912</v>
      </c>
      <c r="L438">
        <v>1671</v>
      </c>
      <c r="M438">
        <v>835858</v>
      </c>
      <c r="N438">
        <v>133724</v>
      </c>
      <c r="O438">
        <v>1777</v>
      </c>
      <c r="P438">
        <v>873402</v>
      </c>
      <c r="Q438">
        <v>25.88</v>
      </c>
      <c r="R438">
        <v>41585482</v>
      </c>
      <c r="S438">
        <v>34409759</v>
      </c>
      <c r="T438">
        <v>20372411</v>
      </c>
      <c r="U438">
        <v>45.62</v>
      </c>
      <c r="V438">
        <v>9.89</v>
      </c>
      <c r="W438">
        <v>1425</v>
      </c>
      <c r="X438">
        <v>0.37</v>
      </c>
      <c r="Y438">
        <v>11.21</v>
      </c>
    </row>
    <row r="439" spans="1:25" x14ac:dyDescent="0.3">
      <c r="A439" t="s">
        <v>25</v>
      </c>
      <c r="B439" t="s">
        <v>32</v>
      </c>
      <c r="C439" t="s">
        <v>38</v>
      </c>
      <c r="D439" s="1">
        <v>44634</v>
      </c>
      <c r="E439">
        <v>36236338</v>
      </c>
      <c r="F439">
        <v>11560</v>
      </c>
      <c r="G439">
        <v>18.399999999999999</v>
      </c>
      <c r="H439">
        <v>39729</v>
      </c>
      <c r="I439">
        <v>469451</v>
      </c>
      <c r="J439">
        <v>41169</v>
      </c>
      <c r="K439">
        <v>35768</v>
      </c>
      <c r="L439">
        <v>1082</v>
      </c>
      <c r="M439">
        <v>431919</v>
      </c>
      <c r="N439">
        <v>56727</v>
      </c>
      <c r="O439">
        <v>7380</v>
      </c>
      <c r="P439">
        <v>1336184</v>
      </c>
      <c r="Q439">
        <v>15.27</v>
      </c>
      <c r="R439">
        <v>30700544</v>
      </c>
      <c r="S439">
        <v>38507657</v>
      </c>
      <c r="T439">
        <v>21950818</v>
      </c>
      <c r="U439">
        <v>53.11</v>
      </c>
      <c r="V439">
        <v>6.14</v>
      </c>
      <c r="W439">
        <v>717</v>
      </c>
      <c r="X439">
        <v>0.83</v>
      </c>
      <c r="Y439">
        <v>38.11</v>
      </c>
    </row>
    <row r="440" spans="1:25" x14ac:dyDescent="0.3">
      <c r="A440" t="s">
        <v>30</v>
      </c>
      <c r="B440" t="s">
        <v>32</v>
      </c>
      <c r="C440" t="s">
        <v>41</v>
      </c>
      <c r="D440" s="1">
        <v>44635</v>
      </c>
      <c r="E440">
        <v>19882100</v>
      </c>
      <c r="F440">
        <v>3737</v>
      </c>
      <c r="G440">
        <v>20.6</v>
      </c>
      <c r="H440">
        <v>16734</v>
      </c>
      <c r="I440">
        <v>243113</v>
      </c>
      <c r="J440">
        <v>36495</v>
      </c>
      <c r="K440">
        <v>1205</v>
      </c>
      <c r="L440">
        <v>1728</v>
      </c>
      <c r="M440">
        <v>744761</v>
      </c>
      <c r="N440">
        <v>177159</v>
      </c>
      <c r="O440">
        <v>2228</v>
      </c>
      <c r="P440">
        <v>1298796</v>
      </c>
      <c r="Q440">
        <v>13</v>
      </c>
      <c r="R440">
        <v>29494973</v>
      </c>
      <c r="S440">
        <v>20043368</v>
      </c>
      <c r="T440">
        <v>2114732</v>
      </c>
      <c r="U440">
        <v>14.64</v>
      </c>
      <c r="V440">
        <v>4.29</v>
      </c>
      <c r="W440">
        <v>2424</v>
      </c>
      <c r="X440">
        <v>2.93</v>
      </c>
      <c r="Y440">
        <v>77.459999999999994</v>
      </c>
    </row>
    <row r="441" spans="1:25" x14ac:dyDescent="0.3">
      <c r="A441" t="s">
        <v>29</v>
      </c>
      <c r="B441" t="s">
        <v>35</v>
      </c>
      <c r="C441" t="s">
        <v>41</v>
      </c>
      <c r="D441" s="1">
        <v>44636</v>
      </c>
      <c r="E441">
        <v>32107303</v>
      </c>
      <c r="F441">
        <v>17030</v>
      </c>
      <c r="G441">
        <v>26.3</v>
      </c>
      <c r="H441">
        <v>43429</v>
      </c>
      <c r="I441">
        <v>77298</v>
      </c>
      <c r="J441">
        <v>13703</v>
      </c>
      <c r="K441">
        <v>34022</v>
      </c>
      <c r="L441">
        <v>1488</v>
      </c>
      <c r="M441">
        <v>550693</v>
      </c>
      <c r="N441">
        <v>342054</v>
      </c>
      <c r="O441">
        <v>9981</v>
      </c>
      <c r="P441">
        <v>1485632</v>
      </c>
      <c r="Q441">
        <v>11.31</v>
      </c>
      <c r="R441">
        <v>26239356</v>
      </c>
      <c r="S441">
        <v>36625919</v>
      </c>
      <c r="T441">
        <v>12960956</v>
      </c>
      <c r="U441">
        <v>13.98</v>
      </c>
      <c r="V441">
        <v>8.44</v>
      </c>
      <c r="W441">
        <v>4140</v>
      </c>
      <c r="X441">
        <v>3.72</v>
      </c>
      <c r="Y441">
        <v>41.73</v>
      </c>
    </row>
    <row r="442" spans="1:25" x14ac:dyDescent="0.3">
      <c r="A442" t="s">
        <v>28</v>
      </c>
      <c r="B442" t="s">
        <v>35</v>
      </c>
      <c r="C442" t="s">
        <v>39</v>
      </c>
      <c r="D442" s="1">
        <v>44637</v>
      </c>
      <c r="E442">
        <v>35759675</v>
      </c>
      <c r="F442">
        <v>8887</v>
      </c>
      <c r="G442">
        <v>18.899999999999999</v>
      </c>
      <c r="H442">
        <v>42337</v>
      </c>
      <c r="I442">
        <v>584526</v>
      </c>
      <c r="J442">
        <v>30815</v>
      </c>
      <c r="K442">
        <v>11425</v>
      </c>
      <c r="L442">
        <v>1803</v>
      </c>
      <c r="M442">
        <v>205080</v>
      </c>
      <c r="N442">
        <v>45480</v>
      </c>
      <c r="O442">
        <v>8804</v>
      </c>
      <c r="P442">
        <v>967289</v>
      </c>
      <c r="Q442">
        <v>21.22</v>
      </c>
      <c r="R442">
        <v>18628043</v>
      </c>
      <c r="S442">
        <v>8708825</v>
      </c>
      <c r="T442">
        <v>23462711</v>
      </c>
      <c r="U442">
        <v>58.34</v>
      </c>
      <c r="V442">
        <v>7.43</v>
      </c>
      <c r="W442">
        <v>1065</v>
      </c>
      <c r="X442">
        <v>0.47</v>
      </c>
      <c r="Y442">
        <v>97.24</v>
      </c>
    </row>
    <row r="443" spans="1:25" x14ac:dyDescent="0.3">
      <c r="A443" t="s">
        <v>30</v>
      </c>
      <c r="B443" t="s">
        <v>32</v>
      </c>
      <c r="C443" t="s">
        <v>41</v>
      </c>
      <c r="D443" s="1">
        <v>44638</v>
      </c>
      <c r="E443">
        <v>38329124</v>
      </c>
      <c r="F443">
        <v>15005</v>
      </c>
      <c r="G443">
        <v>38.200000000000003</v>
      </c>
      <c r="H443">
        <v>41325</v>
      </c>
      <c r="I443">
        <v>260425</v>
      </c>
      <c r="J443">
        <v>29565</v>
      </c>
      <c r="K443">
        <v>39544</v>
      </c>
      <c r="L443">
        <v>259</v>
      </c>
      <c r="M443">
        <v>575173</v>
      </c>
      <c r="N443">
        <v>160422</v>
      </c>
      <c r="O443">
        <v>9814</v>
      </c>
      <c r="P443">
        <v>643811</v>
      </c>
      <c r="Q443">
        <v>20.149999999999999</v>
      </c>
      <c r="R443">
        <v>29623800</v>
      </c>
      <c r="S443">
        <v>39525597</v>
      </c>
      <c r="T443">
        <v>22279169</v>
      </c>
      <c r="U443">
        <v>98.5</v>
      </c>
      <c r="V443">
        <v>7.62</v>
      </c>
      <c r="W443">
        <v>385</v>
      </c>
      <c r="X443">
        <v>4.6100000000000003</v>
      </c>
      <c r="Y443">
        <v>73.569999999999993</v>
      </c>
    </row>
    <row r="444" spans="1:25" x14ac:dyDescent="0.3">
      <c r="A444" t="s">
        <v>29</v>
      </c>
      <c r="B444" t="s">
        <v>35</v>
      </c>
      <c r="C444" t="s">
        <v>37</v>
      </c>
      <c r="D444" s="1">
        <v>44639</v>
      </c>
      <c r="E444">
        <v>29688752</v>
      </c>
      <c r="F444">
        <v>11331</v>
      </c>
      <c r="G444">
        <v>31.6</v>
      </c>
      <c r="H444">
        <v>63514</v>
      </c>
      <c r="I444">
        <v>630721</v>
      </c>
      <c r="J444">
        <v>22942</v>
      </c>
      <c r="K444">
        <v>21696</v>
      </c>
      <c r="L444">
        <v>1396</v>
      </c>
      <c r="M444">
        <v>31153</v>
      </c>
      <c r="N444">
        <v>199516</v>
      </c>
      <c r="O444">
        <v>8888</v>
      </c>
      <c r="P444">
        <v>1594526</v>
      </c>
      <c r="Q444">
        <v>5.89</v>
      </c>
      <c r="R444">
        <v>10572251</v>
      </c>
      <c r="S444">
        <v>39533160</v>
      </c>
      <c r="T444">
        <v>223080</v>
      </c>
      <c r="U444">
        <v>9.6300000000000008</v>
      </c>
      <c r="V444">
        <v>2.36</v>
      </c>
      <c r="W444">
        <v>4811</v>
      </c>
      <c r="X444">
        <v>4.87</v>
      </c>
      <c r="Y444">
        <v>1.55</v>
      </c>
    </row>
    <row r="445" spans="1:25" x14ac:dyDescent="0.3">
      <c r="A445" t="s">
        <v>25</v>
      </c>
      <c r="B445" t="s">
        <v>33</v>
      </c>
      <c r="C445" t="s">
        <v>37</v>
      </c>
      <c r="D445" s="1">
        <v>44640</v>
      </c>
      <c r="E445">
        <v>33827716</v>
      </c>
      <c r="F445">
        <v>13967</v>
      </c>
      <c r="G445">
        <v>35.5</v>
      </c>
      <c r="H445">
        <v>9433</v>
      </c>
      <c r="I445">
        <v>511609</v>
      </c>
      <c r="J445">
        <v>42986</v>
      </c>
      <c r="K445">
        <v>11672</v>
      </c>
      <c r="L445">
        <v>1996</v>
      </c>
      <c r="M445">
        <v>92365</v>
      </c>
      <c r="N445">
        <v>326930</v>
      </c>
      <c r="O445">
        <v>6746</v>
      </c>
      <c r="P445">
        <v>805660</v>
      </c>
      <c r="Q445">
        <v>20.14</v>
      </c>
      <c r="R445">
        <v>33756089</v>
      </c>
      <c r="S445">
        <v>8614291</v>
      </c>
      <c r="T445">
        <v>15473580</v>
      </c>
      <c r="U445">
        <v>28.57</v>
      </c>
      <c r="V445">
        <v>4.95</v>
      </c>
      <c r="W445">
        <v>130</v>
      </c>
      <c r="X445">
        <v>3.07</v>
      </c>
      <c r="Y445">
        <v>88</v>
      </c>
    </row>
    <row r="446" spans="1:25" x14ac:dyDescent="0.3">
      <c r="A446" t="s">
        <v>30</v>
      </c>
      <c r="B446" t="s">
        <v>32</v>
      </c>
      <c r="C446" t="s">
        <v>40</v>
      </c>
      <c r="D446" s="1">
        <v>44641</v>
      </c>
      <c r="E446">
        <v>3475605</v>
      </c>
      <c r="F446">
        <v>4807</v>
      </c>
      <c r="G446">
        <v>23.6</v>
      </c>
      <c r="H446">
        <v>10111</v>
      </c>
      <c r="I446">
        <v>108092</v>
      </c>
      <c r="J446">
        <v>33161</v>
      </c>
      <c r="K446">
        <v>48988</v>
      </c>
      <c r="L446">
        <v>94</v>
      </c>
      <c r="M446">
        <v>478436</v>
      </c>
      <c r="N446">
        <v>382565</v>
      </c>
      <c r="O446">
        <v>6391</v>
      </c>
      <c r="P446">
        <v>586009</v>
      </c>
      <c r="Q446">
        <v>7.57</v>
      </c>
      <c r="R446">
        <v>43090768</v>
      </c>
      <c r="S446">
        <v>34818555</v>
      </c>
      <c r="T446">
        <v>3549551</v>
      </c>
      <c r="U446">
        <v>86.95</v>
      </c>
      <c r="V446">
        <v>8.69</v>
      </c>
      <c r="W446">
        <v>2184</v>
      </c>
      <c r="X446">
        <v>2.46</v>
      </c>
      <c r="Y446">
        <v>10.08</v>
      </c>
    </row>
    <row r="447" spans="1:25" x14ac:dyDescent="0.3">
      <c r="A447" t="s">
        <v>25</v>
      </c>
      <c r="B447" t="s">
        <v>35</v>
      </c>
      <c r="C447" t="s">
        <v>37</v>
      </c>
      <c r="D447" s="1">
        <v>44642</v>
      </c>
      <c r="E447">
        <v>39153586</v>
      </c>
      <c r="F447">
        <v>13095</v>
      </c>
      <c r="G447">
        <v>27.5</v>
      </c>
      <c r="H447">
        <v>64753</v>
      </c>
      <c r="I447">
        <v>265291</v>
      </c>
      <c r="J447">
        <v>48760</v>
      </c>
      <c r="K447">
        <v>28753</v>
      </c>
      <c r="L447">
        <v>1148</v>
      </c>
      <c r="M447">
        <v>650601</v>
      </c>
      <c r="N447">
        <v>307272</v>
      </c>
      <c r="O447">
        <v>9429</v>
      </c>
      <c r="P447">
        <v>663746</v>
      </c>
      <c r="Q447">
        <v>0.56000000000000005</v>
      </c>
      <c r="R447">
        <v>7753759</v>
      </c>
      <c r="S447">
        <v>14337150</v>
      </c>
      <c r="T447">
        <v>6898199</v>
      </c>
      <c r="U447">
        <v>7.23</v>
      </c>
      <c r="V447">
        <v>5.29</v>
      </c>
      <c r="W447">
        <v>1849</v>
      </c>
      <c r="X447">
        <v>3.73</v>
      </c>
      <c r="Y447">
        <v>14.05</v>
      </c>
    </row>
    <row r="448" spans="1:25" x14ac:dyDescent="0.3">
      <c r="A448" t="s">
        <v>29</v>
      </c>
      <c r="B448" t="s">
        <v>32</v>
      </c>
      <c r="C448" t="s">
        <v>41</v>
      </c>
      <c r="D448" s="1">
        <v>44643</v>
      </c>
      <c r="E448">
        <v>32164126</v>
      </c>
      <c r="F448">
        <v>8962</v>
      </c>
      <c r="G448">
        <v>39.200000000000003</v>
      </c>
      <c r="H448">
        <v>22751</v>
      </c>
      <c r="I448">
        <v>230991</v>
      </c>
      <c r="J448">
        <v>41803</v>
      </c>
      <c r="K448">
        <v>32171</v>
      </c>
      <c r="L448">
        <v>40</v>
      </c>
      <c r="M448">
        <v>146371</v>
      </c>
      <c r="N448">
        <v>146467</v>
      </c>
      <c r="O448">
        <v>2406</v>
      </c>
      <c r="P448">
        <v>794294</v>
      </c>
      <c r="Q448">
        <v>20.98</v>
      </c>
      <c r="R448">
        <v>42739591</v>
      </c>
      <c r="S448">
        <v>32151777</v>
      </c>
      <c r="T448">
        <v>22394780</v>
      </c>
      <c r="U448">
        <v>87.59</v>
      </c>
      <c r="V448">
        <v>6.99</v>
      </c>
      <c r="W448">
        <v>307</v>
      </c>
      <c r="X448">
        <v>1.71</v>
      </c>
      <c r="Y448">
        <v>73.45</v>
      </c>
    </row>
    <row r="449" spans="1:25" x14ac:dyDescent="0.3">
      <c r="A449" t="s">
        <v>25</v>
      </c>
      <c r="B449" t="s">
        <v>36</v>
      </c>
      <c r="C449" t="s">
        <v>37</v>
      </c>
      <c r="D449" s="1">
        <v>44644</v>
      </c>
      <c r="E449">
        <v>47331679</v>
      </c>
      <c r="F449">
        <v>4783</v>
      </c>
      <c r="G449">
        <v>48.9</v>
      </c>
      <c r="H449">
        <v>17453</v>
      </c>
      <c r="I449">
        <v>301589</v>
      </c>
      <c r="J449">
        <v>9716</v>
      </c>
      <c r="K449">
        <v>43091</v>
      </c>
      <c r="L449">
        <v>1914</v>
      </c>
      <c r="M449">
        <v>715963</v>
      </c>
      <c r="N449">
        <v>375385</v>
      </c>
      <c r="O449">
        <v>8440</v>
      </c>
      <c r="P449">
        <v>565396</v>
      </c>
      <c r="Q449">
        <v>19.34</v>
      </c>
      <c r="R449">
        <v>37038197</v>
      </c>
      <c r="S449">
        <v>10558423</v>
      </c>
      <c r="T449">
        <v>3099586</v>
      </c>
      <c r="U449">
        <v>52.43</v>
      </c>
      <c r="V449">
        <v>6.09</v>
      </c>
      <c r="W449">
        <v>234</v>
      </c>
      <c r="X449">
        <v>2.52</v>
      </c>
      <c r="Y449">
        <v>86.5</v>
      </c>
    </row>
    <row r="450" spans="1:25" x14ac:dyDescent="0.3">
      <c r="A450" t="s">
        <v>28</v>
      </c>
      <c r="B450" t="s">
        <v>34</v>
      </c>
      <c r="C450" t="s">
        <v>39</v>
      </c>
      <c r="D450" s="1">
        <v>44645</v>
      </c>
      <c r="E450">
        <v>14263700</v>
      </c>
      <c r="F450">
        <v>7131</v>
      </c>
      <c r="G450">
        <v>19.600000000000001</v>
      </c>
      <c r="H450">
        <v>39968</v>
      </c>
      <c r="I450">
        <v>710163</v>
      </c>
      <c r="J450">
        <v>41563</v>
      </c>
      <c r="K450">
        <v>2412</v>
      </c>
      <c r="L450">
        <v>253</v>
      </c>
      <c r="M450">
        <v>249035</v>
      </c>
      <c r="N450">
        <v>317492</v>
      </c>
      <c r="O450">
        <v>637</v>
      </c>
      <c r="P450">
        <v>92788</v>
      </c>
      <c r="Q450">
        <v>12.32</v>
      </c>
      <c r="R450">
        <v>19939111</v>
      </c>
      <c r="S450">
        <v>1305068</v>
      </c>
      <c r="T450">
        <v>2473836</v>
      </c>
      <c r="U450">
        <v>40.83</v>
      </c>
      <c r="V450">
        <v>8.5</v>
      </c>
      <c r="W450">
        <v>172</v>
      </c>
      <c r="X450">
        <v>4.59</v>
      </c>
      <c r="Y450">
        <v>53.63</v>
      </c>
    </row>
    <row r="451" spans="1:25" x14ac:dyDescent="0.3">
      <c r="A451" t="s">
        <v>29</v>
      </c>
      <c r="B451" t="s">
        <v>32</v>
      </c>
      <c r="C451" t="s">
        <v>40</v>
      </c>
      <c r="D451" s="1">
        <v>44646</v>
      </c>
      <c r="E451">
        <v>23566465</v>
      </c>
      <c r="F451">
        <v>8740</v>
      </c>
      <c r="G451">
        <v>46.5</v>
      </c>
      <c r="H451">
        <v>31077</v>
      </c>
      <c r="I451">
        <v>193180</v>
      </c>
      <c r="J451">
        <v>33349</v>
      </c>
      <c r="K451">
        <v>49658</v>
      </c>
      <c r="L451">
        <v>6</v>
      </c>
      <c r="M451">
        <v>539840</v>
      </c>
      <c r="N451">
        <v>473521</v>
      </c>
      <c r="O451">
        <v>8090</v>
      </c>
      <c r="P451">
        <v>469239</v>
      </c>
      <c r="Q451">
        <v>15.77</v>
      </c>
      <c r="R451">
        <v>45199550</v>
      </c>
      <c r="S451">
        <v>5735642</v>
      </c>
      <c r="T451">
        <v>7285315</v>
      </c>
      <c r="U451">
        <v>30.97</v>
      </c>
      <c r="V451">
        <v>3.2</v>
      </c>
      <c r="W451">
        <v>4750</v>
      </c>
      <c r="X451">
        <v>4.78</v>
      </c>
      <c r="Y451">
        <v>28.9</v>
      </c>
    </row>
    <row r="452" spans="1:25" x14ac:dyDescent="0.3">
      <c r="A452" t="s">
        <v>29</v>
      </c>
      <c r="B452" t="s">
        <v>34</v>
      </c>
      <c r="C452" t="s">
        <v>41</v>
      </c>
      <c r="D452" s="1">
        <v>44647</v>
      </c>
      <c r="E452">
        <v>15073834</v>
      </c>
      <c r="F452">
        <v>1723</v>
      </c>
      <c r="G452">
        <v>36.5</v>
      </c>
      <c r="H452">
        <v>35775</v>
      </c>
      <c r="I452">
        <v>631458</v>
      </c>
      <c r="J452">
        <v>47098</v>
      </c>
      <c r="K452">
        <v>13285</v>
      </c>
      <c r="L452">
        <v>1494</v>
      </c>
      <c r="M452">
        <v>137616</v>
      </c>
      <c r="N452">
        <v>272767</v>
      </c>
      <c r="O452">
        <v>949</v>
      </c>
      <c r="P452">
        <v>245437</v>
      </c>
      <c r="Q452">
        <v>28.42</v>
      </c>
      <c r="R452">
        <v>36689642</v>
      </c>
      <c r="S452">
        <v>14040340</v>
      </c>
      <c r="T452">
        <v>29089137</v>
      </c>
      <c r="U452">
        <v>29.71</v>
      </c>
      <c r="V452">
        <v>5.97</v>
      </c>
      <c r="W452">
        <v>3564</v>
      </c>
      <c r="X452">
        <v>4.6399999999999997</v>
      </c>
      <c r="Y452">
        <v>35.130000000000003</v>
      </c>
    </row>
    <row r="453" spans="1:25" x14ac:dyDescent="0.3">
      <c r="A453" t="s">
        <v>29</v>
      </c>
      <c r="B453" t="s">
        <v>35</v>
      </c>
      <c r="C453" t="s">
        <v>40</v>
      </c>
      <c r="D453" s="1">
        <v>44648</v>
      </c>
      <c r="E453">
        <v>42207317</v>
      </c>
      <c r="F453">
        <v>14368</v>
      </c>
      <c r="G453">
        <v>36</v>
      </c>
      <c r="H453">
        <v>59144</v>
      </c>
      <c r="I453">
        <v>920517</v>
      </c>
      <c r="J453">
        <v>42899</v>
      </c>
      <c r="K453">
        <v>28192</v>
      </c>
      <c r="L453">
        <v>727</v>
      </c>
      <c r="M453">
        <v>151443</v>
      </c>
      <c r="N453">
        <v>307774</v>
      </c>
      <c r="O453">
        <v>3587</v>
      </c>
      <c r="P453">
        <v>1810875</v>
      </c>
      <c r="Q453">
        <v>17.86</v>
      </c>
      <c r="R453">
        <v>49764077</v>
      </c>
      <c r="S453">
        <v>24601348</v>
      </c>
      <c r="T453">
        <v>19541697</v>
      </c>
      <c r="U453">
        <v>30.58</v>
      </c>
      <c r="V453">
        <v>1.67</v>
      </c>
      <c r="W453">
        <v>1444</v>
      </c>
      <c r="X453">
        <v>1.39</v>
      </c>
      <c r="Y453">
        <v>34.29</v>
      </c>
    </row>
    <row r="454" spans="1:25" x14ac:dyDescent="0.3">
      <c r="A454" t="s">
        <v>31</v>
      </c>
      <c r="B454" t="s">
        <v>34</v>
      </c>
      <c r="C454" t="s">
        <v>41</v>
      </c>
      <c r="D454" s="1">
        <v>44649</v>
      </c>
      <c r="E454">
        <v>9676748</v>
      </c>
      <c r="F454">
        <v>11221</v>
      </c>
      <c r="G454">
        <v>34</v>
      </c>
      <c r="H454">
        <v>49570</v>
      </c>
      <c r="I454">
        <v>348761</v>
      </c>
      <c r="J454">
        <v>132</v>
      </c>
      <c r="K454">
        <v>14925</v>
      </c>
      <c r="L454">
        <v>1534</v>
      </c>
      <c r="M454">
        <v>220875</v>
      </c>
      <c r="N454">
        <v>259225</v>
      </c>
      <c r="O454">
        <v>1111</v>
      </c>
      <c r="P454">
        <v>867572</v>
      </c>
      <c r="Q454">
        <v>19.739999999999998</v>
      </c>
      <c r="R454">
        <v>16907991</v>
      </c>
      <c r="S454">
        <v>25700220</v>
      </c>
      <c r="T454">
        <v>16709203</v>
      </c>
      <c r="U454">
        <v>88.48</v>
      </c>
      <c r="V454">
        <v>7.06</v>
      </c>
      <c r="W454">
        <v>2402</v>
      </c>
      <c r="X454">
        <v>1.24</v>
      </c>
      <c r="Y454">
        <v>32.67</v>
      </c>
    </row>
    <row r="455" spans="1:25" x14ac:dyDescent="0.3">
      <c r="A455" t="s">
        <v>31</v>
      </c>
      <c r="B455" t="s">
        <v>32</v>
      </c>
      <c r="C455" t="s">
        <v>39</v>
      </c>
      <c r="D455" s="1">
        <v>44650</v>
      </c>
      <c r="E455">
        <v>23441230</v>
      </c>
      <c r="F455">
        <v>13595</v>
      </c>
      <c r="G455">
        <v>20.2</v>
      </c>
      <c r="H455">
        <v>47097</v>
      </c>
      <c r="I455">
        <v>214482</v>
      </c>
      <c r="J455">
        <v>47752</v>
      </c>
      <c r="K455">
        <v>919</v>
      </c>
      <c r="L455">
        <v>1604</v>
      </c>
      <c r="M455">
        <v>506435</v>
      </c>
      <c r="N455">
        <v>13869</v>
      </c>
      <c r="O455">
        <v>8367</v>
      </c>
      <c r="P455">
        <v>1001467</v>
      </c>
      <c r="Q455">
        <v>1.92</v>
      </c>
      <c r="R455">
        <v>36735049</v>
      </c>
      <c r="S455">
        <v>23349699</v>
      </c>
      <c r="T455">
        <v>23872437</v>
      </c>
      <c r="U455">
        <v>72.38</v>
      </c>
      <c r="V455">
        <v>7.45</v>
      </c>
      <c r="W455">
        <v>3269</v>
      </c>
      <c r="X455">
        <v>1.56</v>
      </c>
      <c r="Y455">
        <v>24.29</v>
      </c>
    </row>
    <row r="456" spans="1:25" x14ac:dyDescent="0.3">
      <c r="A456" t="s">
        <v>31</v>
      </c>
      <c r="B456" t="s">
        <v>36</v>
      </c>
      <c r="C456" t="s">
        <v>40</v>
      </c>
      <c r="D456" s="1">
        <v>44651</v>
      </c>
      <c r="E456">
        <v>46001579</v>
      </c>
      <c r="F456">
        <v>11853</v>
      </c>
      <c r="G456">
        <v>20.9</v>
      </c>
      <c r="H456">
        <v>25503</v>
      </c>
      <c r="I456">
        <v>840934</v>
      </c>
      <c r="J456">
        <v>3385</v>
      </c>
      <c r="K456">
        <v>48584</v>
      </c>
      <c r="L456">
        <v>68</v>
      </c>
      <c r="M456">
        <v>546169</v>
      </c>
      <c r="N456">
        <v>456358</v>
      </c>
      <c r="O456">
        <v>722</v>
      </c>
      <c r="P456">
        <v>683561</v>
      </c>
      <c r="Q456">
        <v>4.9800000000000004</v>
      </c>
      <c r="R456">
        <v>27570798</v>
      </c>
      <c r="S456">
        <v>15248752</v>
      </c>
      <c r="T456">
        <v>2567604</v>
      </c>
      <c r="U456">
        <v>66.97</v>
      </c>
      <c r="V456">
        <v>0.91</v>
      </c>
      <c r="W456">
        <v>1358</v>
      </c>
      <c r="X456">
        <v>2.2599999999999998</v>
      </c>
      <c r="Y456">
        <v>60.89</v>
      </c>
    </row>
    <row r="457" spans="1:25" x14ac:dyDescent="0.3">
      <c r="A457" t="s">
        <v>28</v>
      </c>
      <c r="B457" t="s">
        <v>35</v>
      </c>
      <c r="C457" t="s">
        <v>38</v>
      </c>
      <c r="D457" s="1">
        <v>44652</v>
      </c>
      <c r="E457">
        <v>29411861</v>
      </c>
      <c r="F457">
        <v>2344</v>
      </c>
      <c r="G457">
        <v>37.200000000000003</v>
      </c>
      <c r="H457">
        <v>3779</v>
      </c>
      <c r="I457">
        <v>642404</v>
      </c>
      <c r="J457">
        <v>36538</v>
      </c>
      <c r="K457">
        <v>382</v>
      </c>
      <c r="L457">
        <v>1104</v>
      </c>
      <c r="M457">
        <v>673134</v>
      </c>
      <c r="N457">
        <v>112135</v>
      </c>
      <c r="O457">
        <v>3842</v>
      </c>
      <c r="P457">
        <v>1904586</v>
      </c>
      <c r="Q457">
        <v>9.0299999999999994</v>
      </c>
      <c r="R457">
        <v>33780838</v>
      </c>
      <c r="S457">
        <v>38974383</v>
      </c>
      <c r="T457">
        <v>3535054</v>
      </c>
      <c r="U457">
        <v>79.87</v>
      </c>
      <c r="V457">
        <v>6.92</v>
      </c>
      <c r="W457">
        <v>3994</v>
      </c>
      <c r="X457">
        <v>1.64</v>
      </c>
      <c r="Y457">
        <v>90.04</v>
      </c>
    </row>
    <row r="458" spans="1:25" x14ac:dyDescent="0.3">
      <c r="A458" t="s">
        <v>30</v>
      </c>
      <c r="B458" t="s">
        <v>32</v>
      </c>
      <c r="C458" t="s">
        <v>41</v>
      </c>
      <c r="D458" s="1">
        <v>44653</v>
      </c>
      <c r="E458">
        <v>24776628</v>
      </c>
      <c r="F458">
        <v>3680</v>
      </c>
      <c r="G458">
        <v>28.9</v>
      </c>
      <c r="H458">
        <v>1755</v>
      </c>
      <c r="I458">
        <v>825187</v>
      </c>
      <c r="J458">
        <v>35036</v>
      </c>
      <c r="K458">
        <v>22630</v>
      </c>
      <c r="L458">
        <v>541</v>
      </c>
      <c r="M458">
        <v>768022</v>
      </c>
      <c r="N458">
        <v>175817</v>
      </c>
      <c r="O458">
        <v>3674</v>
      </c>
      <c r="P458">
        <v>50966</v>
      </c>
      <c r="Q458">
        <v>16.18</v>
      </c>
      <c r="R458">
        <v>37284710</v>
      </c>
      <c r="S458">
        <v>23640911</v>
      </c>
      <c r="T458">
        <v>7045663</v>
      </c>
      <c r="U458">
        <v>25.71</v>
      </c>
      <c r="V458">
        <v>4.4400000000000004</v>
      </c>
      <c r="W458">
        <v>1991</v>
      </c>
      <c r="X458">
        <v>1.93</v>
      </c>
      <c r="Y458">
        <v>30.71</v>
      </c>
    </row>
    <row r="459" spans="1:25" x14ac:dyDescent="0.3">
      <c r="A459" t="s">
        <v>25</v>
      </c>
      <c r="B459" t="s">
        <v>35</v>
      </c>
      <c r="C459" t="s">
        <v>38</v>
      </c>
      <c r="D459" s="1">
        <v>44654</v>
      </c>
      <c r="E459">
        <v>49827861</v>
      </c>
      <c r="F459">
        <v>15143</v>
      </c>
      <c r="G459">
        <v>47.4</v>
      </c>
      <c r="H459">
        <v>40263</v>
      </c>
      <c r="I459">
        <v>665093</v>
      </c>
      <c r="J459">
        <v>33743</v>
      </c>
      <c r="K459">
        <v>34122</v>
      </c>
      <c r="L459">
        <v>1608</v>
      </c>
      <c r="M459">
        <v>780805</v>
      </c>
      <c r="N459">
        <v>221915</v>
      </c>
      <c r="O459">
        <v>4866</v>
      </c>
      <c r="P459">
        <v>186846</v>
      </c>
      <c r="Q459">
        <v>23.3</v>
      </c>
      <c r="R459">
        <v>46273097</v>
      </c>
      <c r="S459">
        <v>3987422</v>
      </c>
      <c r="T459">
        <v>13143868</v>
      </c>
      <c r="U459">
        <v>61.8</v>
      </c>
      <c r="V459">
        <v>1.68</v>
      </c>
      <c r="W459">
        <v>540</v>
      </c>
      <c r="X459">
        <v>3.14</v>
      </c>
      <c r="Y459">
        <v>18.670000000000002</v>
      </c>
    </row>
    <row r="460" spans="1:25" x14ac:dyDescent="0.3">
      <c r="A460" t="s">
        <v>27</v>
      </c>
      <c r="B460" t="s">
        <v>33</v>
      </c>
      <c r="C460" t="s">
        <v>40</v>
      </c>
      <c r="D460" s="1">
        <v>44655</v>
      </c>
      <c r="E460">
        <v>40270506</v>
      </c>
      <c r="F460">
        <v>16580</v>
      </c>
      <c r="G460">
        <v>31</v>
      </c>
      <c r="H460">
        <v>56087</v>
      </c>
      <c r="I460">
        <v>796911</v>
      </c>
      <c r="J460">
        <v>40373</v>
      </c>
      <c r="K460">
        <v>8525</v>
      </c>
      <c r="L460">
        <v>1285</v>
      </c>
      <c r="M460">
        <v>345752</v>
      </c>
      <c r="N460">
        <v>455458</v>
      </c>
      <c r="O460">
        <v>702</v>
      </c>
      <c r="P460">
        <v>1322106</v>
      </c>
      <c r="Q460">
        <v>9.64</v>
      </c>
      <c r="R460">
        <v>27853272</v>
      </c>
      <c r="S460">
        <v>39210457</v>
      </c>
      <c r="T460">
        <v>9186985</v>
      </c>
      <c r="U460">
        <v>46.01</v>
      </c>
      <c r="V460">
        <v>4.49</v>
      </c>
      <c r="W460">
        <v>1104</v>
      </c>
      <c r="X460">
        <v>3.84</v>
      </c>
      <c r="Y460">
        <v>83.86</v>
      </c>
    </row>
    <row r="461" spans="1:25" x14ac:dyDescent="0.3">
      <c r="A461" t="s">
        <v>29</v>
      </c>
      <c r="B461" t="s">
        <v>34</v>
      </c>
      <c r="C461" t="s">
        <v>38</v>
      </c>
      <c r="D461" s="1">
        <v>44656</v>
      </c>
      <c r="E461">
        <v>11011846</v>
      </c>
      <c r="F461">
        <v>14503</v>
      </c>
      <c r="G461">
        <v>22.6</v>
      </c>
      <c r="H461">
        <v>43281</v>
      </c>
      <c r="I461">
        <v>600649</v>
      </c>
      <c r="J461">
        <v>7213</v>
      </c>
      <c r="K461">
        <v>2441</v>
      </c>
      <c r="L461">
        <v>88</v>
      </c>
      <c r="M461">
        <v>235520</v>
      </c>
      <c r="N461">
        <v>231932</v>
      </c>
      <c r="O461">
        <v>2128</v>
      </c>
      <c r="P461">
        <v>602516</v>
      </c>
      <c r="Q461">
        <v>10.69</v>
      </c>
      <c r="R461">
        <v>3917563</v>
      </c>
      <c r="S461">
        <v>6112445</v>
      </c>
      <c r="T461">
        <v>18920894</v>
      </c>
      <c r="U461">
        <v>78.239999999999995</v>
      </c>
      <c r="V461">
        <v>2.35</v>
      </c>
      <c r="W461">
        <v>751</v>
      </c>
      <c r="X461">
        <v>3.7</v>
      </c>
      <c r="Y461">
        <v>74.180000000000007</v>
      </c>
    </row>
    <row r="462" spans="1:25" x14ac:dyDescent="0.3">
      <c r="A462" t="s">
        <v>25</v>
      </c>
      <c r="B462" t="s">
        <v>33</v>
      </c>
      <c r="C462" t="s">
        <v>38</v>
      </c>
      <c r="D462" s="1">
        <v>44657</v>
      </c>
      <c r="E462">
        <v>47169316</v>
      </c>
      <c r="F462">
        <v>12224</v>
      </c>
      <c r="G462">
        <v>40.9</v>
      </c>
      <c r="H462">
        <v>52482</v>
      </c>
      <c r="I462">
        <v>677664</v>
      </c>
      <c r="J462">
        <v>44223</v>
      </c>
      <c r="K462">
        <v>21064</v>
      </c>
      <c r="L462">
        <v>1938</v>
      </c>
      <c r="M462">
        <v>50392</v>
      </c>
      <c r="N462">
        <v>156729</v>
      </c>
      <c r="O462">
        <v>9118</v>
      </c>
      <c r="P462">
        <v>1040524</v>
      </c>
      <c r="Q462">
        <v>7.68</v>
      </c>
      <c r="R462">
        <v>21201009</v>
      </c>
      <c r="S462">
        <v>21638003</v>
      </c>
      <c r="T462">
        <v>11057765</v>
      </c>
      <c r="U462">
        <v>30.93</v>
      </c>
      <c r="V462">
        <v>4.45</v>
      </c>
      <c r="W462">
        <v>2984</v>
      </c>
      <c r="X462">
        <v>4.09</v>
      </c>
      <c r="Y462">
        <v>93.08</v>
      </c>
    </row>
    <row r="463" spans="1:25" x14ac:dyDescent="0.3">
      <c r="A463" t="s">
        <v>29</v>
      </c>
      <c r="B463" t="s">
        <v>32</v>
      </c>
      <c r="C463" t="s">
        <v>40</v>
      </c>
      <c r="D463" s="1">
        <v>44658</v>
      </c>
      <c r="E463">
        <v>38643159</v>
      </c>
      <c r="F463">
        <v>3503</v>
      </c>
      <c r="G463">
        <v>27.4</v>
      </c>
      <c r="H463">
        <v>55857</v>
      </c>
      <c r="I463">
        <v>429910</v>
      </c>
      <c r="J463">
        <v>26119</v>
      </c>
      <c r="K463">
        <v>32634</v>
      </c>
      <c r="L463">
        <v>1231</v>
      </c>
      <c r="M463">
        <v>182093</v>
      </c>
      <c r="N463">
        <v>234899</v>
      </c>
      <c r="O463">
        <v>4233</v>
      </c>
      <c r="P463">
        <v>1195873</v>
      </c>
      <c r="Q463">
        <v>7.64</v>
      </c>
      <c r="R463">
        <v>9844090</v>
      </c>
      <c r="S463">
        <v>24800965</v>
      </c>
      <c r="T463">
        <v>11986978</v>
      </c>
      <c r="U463">
        <v>64.319999999999993</v>
      </c>
      <c r="V463">
        <v>4.1500000000000004</v>
      </c>
      <c r="W463">
        <v>4745</v>
      </c>
      <c r="X463">
        <v>0.26</v>
      </c>
      <c r="Y463">
        <v>16.55</v>
      </c>
    </row>
    <row r="464" spans="1:25" x14ac:dyDescent="0.3">
      <c r="A464" t="s">
        <v>28</v>
      </c>
      <c r="B464" t="s">
        <v>36</v>
      </c>
      <c r="C464" t="s">
        <v>39</v>
      </c>
      <c r="D464" s="1">
        <v>44659</v>
      </c>
      <c r="E464">
        <v>44062003</v>
      </c>
      <c r="F464">
        <v>4557</v>
      </c>
      <c r="G464">
        <v>34.799999999999997</v>
      </c>
      <c r="H464">
        <v>18400</v>
      </c>
      <c r="I464">
        <v>125232</v>
      </c>
      <c r="J464">
        <v>2835</v>
      </c>
      <c r="K464">
        <v>10595</v>
      </c>
      <c r="L464">
        <v>212</v>
      </c>
      <c r="M464">
        <v>878433</v>
      </c>
      <c r="N464">
        <v>342026</v>
      </c>
      <c r="O464">
        <v>2517</v>
      </c>
      <c r="P464">
        <v>1459485</v>
      </c>
      <c r="Q464">
        <v>28.47</v>
      </c>
      <c r="R464">
        <v>9200952</v>
      </c>
      <c r="S464">
        <v>1913894</v>
      </c>
      <c r="T464">
        <v>22776626</v>
      </c>
      <c r="U464">
        <v>88.22</v>
      </c>
      <c r="V464">
        <v>7.51</v>
      </c>
      <c r="W464">
        <v>1184</v>
      </c>
      <c r="X464">
        <v>0.33</v>
      </c>
      <c r="Y464">
        <v>14.43</v>
      </c>
    </row>
    <row r="465" spans="1:25" x14ac:dyDescent="0.3">
      <c r="A465" t="s">
        <v>29</v>
      </c>
      <c r="B465" t="s">
        <v>35</v>
      </c>
      <c r="C465" t="s">
        <v>38</v>
      </c>
      <c r="D465" s="1">
        <v>44660</v>
      </c>
      <c r="E465">
        <v>9478989</v>
      </c>
      <c r="F465">
        <v>10652</v>
      </c>
      <c r="G465">
        <v>40.299999999999997</v>
      </c>
      <c r="H465">
        <v>41115</v>
      </c>
      <c r="I465">
        <v>893018</v>
      </c>
      <c r="J465">
        <v>2738</v>
      </c>
      <c r="K465">
        <v>48240</v>
      </c>
      <c r="L465">
        <v>833</v>
      </c>
      <c r="M465">
        <v>739780</v>
      </c>
      <c r="N465">
        <v>340626</v>
      </c>
      <c r="O465">
        <v>1149</v>
      </c>
      <c r="P465">
        <v>1383917</v>
      </c>
      <c r="Q465">
        <v>19.059999999999999</v>
      </c>
      <c r="R465">
        <v>26911058</v>
      </c>
      <c r="S465">
        <v>3243899</v>
      </c>
      <c r="T465">
        <v>3360966</v>
      </c>
      <c r="U465">
        <v>40.22</v>
      </c>
      <c r="V465">
        <v>7.86</v>
      </c>
      <c r="W465">
        <v>129</v>
      </c>
      <c r="X465">
        <v>3.97</v>
      </c>
      <c r="Y465">
        <v>54.14</v>
      </c>
    </row>
    <row r="466" spans="1:25" x14ac:dyDescent="0.3">
      <c r="A466" t="s">
        <v>31</v>
      </c>
      <c r="B466" t="s">
        <v>34</v>
      </c>
      <c r="C466" t="s">
        <v>38</v>
      </c>
      <c r="D466" s="1">
        <v>44661</v>
      </c>
      <c r="E466">
        <v>14292249</v>
      </c>
      <c r="F466">
        <v>5678</v>
      </c>
      <c r="G466">
        <v>46.8</v>
      </c>
      <c r="H466">
        <v>15249</v>
      </c>
      <c r="I466">
        <v>82171</v>
      </c>
      <c r="J466">
        <v>42317</v>
      </c>
      <c r="K466">
        <v>31968</v>
      </c>
      <c r="L466">
        <v>265</v>
      </c>
      <c r="M466">
        <v>346035</v>
      </c>
      <c r="N466">
        <v>168257</v>
      </c>
      <c r="O466">
        <v>1878</v>
      </c>
      <c r="P466">
        <v>44021</v>
      </c>
      <c r="Q466">
        <v>4.68</v>
      </c>
      <c r="R466">
        <v>9849069</v>
      </c>
      <c r="S466">
        <v>22273285</v>
      </c>
      <c r="T466">
        <v>6801196</v>
      </c>
      <c r="U466">
        <v>6.66</v>
      </c>
      <c r="V466">
        <v>6.27</v>
      </c>
      <c r="W466">
        <v>885</v>
      </c>
      <c r="X466">
        <v>2.71</v>
      </c>
      <c r="Y466">
        <v>61.44</v>
      </c>
    </row>
    <row r="467" spans="1:25" x14ac:dyDescent="0.3">
      <c r="A467" t="s">
        <v>27</v>
      </c>
      <c r="B467" t="s">
        <v>35</v>
      </c>
      <c r="C467" t="s">
        <v>39</v>
      </c>
      <c r="D467" s="1">
        <v>44662</v>
      </c>
      <c r="E467">
        <v>28598059</v>
      </c>
      <c r="F467">
        <v>8378</v>
      </c>
      <c r="G467">
        <v>43.4</v>
      </c>
      <c r="H467">
        <v>47825</v>
      </c>
      <c r="I467">
        <v>377295</v>
      </c>
      <c r="J467">
        <v>4134</v>
      </c>
      <c r="K467">
        <v>1705</v>
      </c>
      <c r="L467">
        <v>911</v>
      </c>
      <c r="M467">
        <v>280564</v>
      </c>
      <c r="N467">
        <v>444024</v>
      </c>
      <c r="O467">
        <v>9445</v>
      </c>
      <c r="P467">
        <v>382059</v>
      </c>
      <c r="Q467">
        <v>21.67</v>
      </c>
      <c r="R467">
        <v>4031660</v>
      </c>
      <c r="S467">
        <v>19822529</v>
      </c>
      <c r="T467">
        <v>7577676</v>
      </c>
      <c r="U467">
        <v>51.61</v>
      </c>
      <c r="V467">
        <v>0.72</v>
      </c>
      <c r="W467">
        <v>701</v>
      </c>
      <c r="X467">
        <v>2.93</v>
      </c>
      <c r="Y467">
        <v>48.02</v>
      </c>
    </row>
    <row r="468" spans="1:25" x14ac:dyDescent="0.3">
      <c r="A468" t="s">
        <v>26</v>
      </c>
      <c r="B468" t="s">
        <v>32</v>
      </c>
      <c r="C468" t="s">
        <v>38</v>
      </c>
      <c r="D468" s="1">
        <v>44663</v>
      </c>
      <c r="E468">
        <v>4183909</v>
      </c>
      <c r="F468">
        <v>15584</v>
      </c>
      <c r="G468">
        <v>39.6</v>
      </c>
      <c r="H468">
        <v>25600</v>
      </c>
      <c r="I468">
        <v>87296</v>
      </c>
      <c r="J468">
        <v>25892</v>
      </c>
      <c r="K468">
        <v>34685</v>
      </c>
      <c r="L468">
        <v>292</v>
      </c>
      <c r="M468">
        <v>803634</v>
      </c>
      <c r="N468">
        <v>444673</v>
      </c>
      <c r="O468">
        <v>9675</v>
      </c>
      <c r="P468">
        <v>150333</v>
      </c>
      <c r="Q468">
        <v>21.66</v>
      </c>
      <c r="R468">
        <v>49233998</v>
      </c>
      <c r="S468">
        <v>12800727</v>
      </c>
      <c r="T468">
        <v>3498352</v>
      </c>
      <c r="U468">
        <v>34.6</v>
      </c>
      <c r="V468">
        <v>9.34</v>
      </c>
      <c r="W468">
        <v>466</v>
      </c>
      <c r="X468">
        <v>0.36</v>
      </c>
      <c r="Y468">
        <v>59.9</v>
      </c>
    </row>
    <row r="469" spans="1:25" x14ac:dyDescent="0.3">
      <c r="A469" t="s">
        <v>29</v>
      </c>
      <c r="B469" t="s">
        <v>35</v>
      </c>
      <c r="C469" t="s">
        <v>38</v>
      </c>
      <c r="D469" s="1">
        <v>44664</v>
      </c>
      <c r="E469">
        <v>35594032</v>
      </c>
      <c r="F469">
        <v>19794</v>
      </c>
      <c r="G469">
        <v>39.700000000000003</v>
      </c>
      <c r="H469">
        <v>38706</v>
      </c>
      <c r="I469">
        <v>141562</v>
      </c>
      <c r="J469">
        <v>39601</v>
      </c>
      <c r="K469">
        <v>49942</v>
      </c>
      <c r="L469">
        <v>1230</v>
      </c>
      <c r="M469">
        <v>256716</v>
      </c>
      <c r="N469">
        <v>373183</v>
      </c>
      <c r="O469">
        <v>309</v>
      </c>
      <c r="P469">
        <v>421594</v>
      </c>
      <c r="Q469">
        <v>19.989999999999998</v>
      </c>
      <c r="R469">
        <v>13408129</v>
      </c>
      <c r="S469">
        <v>10756656</v>
      </c>
      <c r="T469">
        <v>18307904</v>
      </c>
      <c r="U469">
        <v>67.22</v>
      </c>
      <c r="V469">
        <v>7.02</v>
      </c>
      <c r="W469">
        <v>3730</v>
      </c>
      <c r="X469">
        <v>1.35</v>
      </c>
      <c r="Y469">
        <v>18.04</v>
      </c>
    </row>
    <row r="470" spans="1:25" x14ac:dyDescent="0.3">
      <c r="A470" t="s">
        <v>25</v>
      </c>
      <c r="B470" t="s">
        <v>34</v>
      </c>
      <c r="C470" t="s">
        <v>38</v>
      </c>
      <c r="D470" s="1">
        <v>44665</v>
      </c>
      <c r="E470">
        <v>41519538</v>
      </c>
      <c r="F470">
        <v>19439</v>
      </c>
      <c r="G470">
        <v>48.3</v>
      </c>
      <c r="H470">
        <v>20222</v>
      </c>
      <c r="I470">
        <v>153324</v>
      </c>
      <c r="J470">
        <v>8353</v>
      </c>
      <c r="K470">
        <v>33797</v>
      </c>
      <c r="L470">
        <v>332</v>
      </c>
      <c r="M470">
        <v>788826</v>
      </c>
      <c r="N470">
        <v>144642</v>
      </c>
      <c r="O470">
        <v>3952</v>
      </c>
      <c r="P470">
        <v>904606</v>
      </c>
      <c r="Q470">
        <v>4.04</v>
      </c>
      <c r="R470">
        <v>31981044</v>
      </c>
      <c r="S470">
        <v>641627</v>
      </c>
      <c r="T470">
        <v>27996685</v>
      </c>
      <c r="U470">
        <v>95.1</v>
      </c>
      <c r="V470">
        <v>0.82</v>
      </c>
      <c r="W470">
        <v>3916</v>
      </c>
      <c r="X470">
        <v>3.23</v>
      </c>
      <c r="Y470">
        <v>47.96</v>
      </c>
    </row>
    <row r="471" spans="1:25" x14ac:dyDescent="0.3">
      <c r="A471" t="s">
        <v>31</v>
      </c>
      <c r="B471" t="s">
        <v>32</v>
      </c>
      <c r="C471" t="s">
        <v>37</v>
      </c>
      <c r="D471" s="1">
        <v>44666</v>
      </c>
      <c r="E471">
        <v>20347987</v>
      </c>
      <c r="F471">
        <v>3602</v>
      </c>
      <c r="G471">
        <v>27.5</v>
      </c>
      <c r="H471">
        <v>42139</v>
      </c>
      <c r="I471">
        <v>499506</v>
      </c>
      <c r="J471">
        <v>15690</v>
      </c>
      <c r="K471">
        <v>44235</v>
      </c>
      <c r="L471">
        <v>1100</v>
      </c>
      <c r="M471">
        <v>817917</v>
      </c>
      <c r="N471">
        <v>340956</v>
      </c>
      <c r="O471">
        <v>7728</v>
      </c>
      <c r="P471">
        <v>777934</v>
      </c>
      <c r="Q471">
        <v>12.24</v>
      </c>
      <c r="R471">
        <v>32174364</v>
      </c>
      <c r="S471">
        <v>24523904</v>
      </c>
      <c r="T471">
        <v>9421148</v>
      </c>
      <c r="U471">
        <v>48.56</v>
      </c>
      <c r="V471">
        <v>8.2799999999999994</v>
      </c>
      <c r="W471">
        <v>795</v>
      </c>
      <c r="X471">
        <v>4.3099999999999996</v>
      </c>
      <c r="Y471">
        <v>65.81</v>
      </c>
    </row>
    <row r="472" spans="1:25" x14ac:dyDescent="0.3">
      <c r="A472" t="s">
        <v>26</v>
      </c>
      <c r="B472" t="s">
        <v>35</v>
      </c>
      <c r="C472" t="s">
        <v>39</v>
      </c>
      <c r="D472" s="1">
        <v>44667</v>
      </c>
      <c r="E472">
        <v>18420863</v>
      </c>
      <c r="F472">
        <v>16452</v>
      </c>
      <c r="G472">
        <v>18</v>
      </c>
      <c r="H472">
        <v>42302</v>
      </c>
      <c r="I472">
        <v>663222</v>
      </c>
      <c r="J472">
        <v>1909</v>
      </c>
      <c r="K472">
        <v>1413</v>
      </c>
      <c r="L472">
        <v>1311</v>
      </c>
      <c r="M472">
        <v>159859</v>
      </c>
      <c r="N472">
        <v>118743</v>
      </c>
      <c r="O472">
        <v>3049</v>
      </c>
      <c r="P472">
        <v>87755</v>
      </c>
      <c r="Q472">
        <v>3.2</v>
      </c>
      <c r="R472">
        <v>12023450</v>
      </c>
      <c r="S472">
        <v>16324963</v>
      </c>
      <c r="T472">
        <v>3281401</v>
      </c>
      <c r="U472">
        <v>46.62</v>
      </c>
      <c r="V472">
        <v>2.4</v>
      </c>
      <c r="W472">
        <v>2052</v>
      </c>
      <c r="X472">
        <v>4.59</v>
      </c>
      <c r="Y472">
        <v>43.27</v>
      </c>
    </row>
    <row r="473" spans="1:25" x14ac:dyDescent="0.3">
      <c r="A473" t="s">
        <v>27</v>
      </c>
      <c r="B473" t="s">
        <v>36</v>
      </c>
      <c r="C473" t="s">
        <v>38</v>
      </c>
      <c r="D473" s="1">
        <v>44668</v>
      </c>
      <c r="E473">
        <v>32953189</v>
      </c>
      <c r="F473">
        <v>2292</v>
      </c>
      <c r="G473">
        <v>26.7</v>
      </c>
      <c r="H473">
        <v>69159</v>
      </c>
      <c r="I473">
        <v>242535</v>
      </c>
      <c r="J473">
        <v>25703</v>
      </c>
      <c r="K473">
        <v>17820</v>
      </c>
      <c r="L473">
        <v>1004</v>
      </c>
      <c r="M473">
        <v>783559</v>
      </c>
      <c r="N473">
        <v>369661</v>
      </c>
      <c r="O473">
        <v>5766</v>
      </c>
      <c r="P473">
        <v>930441</v>
      </c>
      <c r="Q473">
        <v>24.5</v>
      </c>
      <c r="R473">
        <v>5694696</v>
      </c>
      <c r="S473">
        <v>23155347</v>
      </c>
      <c r="T473">
        <v>22819458</v>
      </c>
      <c r="U473">
        <v>65.459999999999994</v>
      </c>
      <c r="V473">
        <v>6</v>
      </c>
      <c r="W473">
        <v>289</v>
      </c>
      <c r="X473">
        <v>2.5499999999999998</v>
      </c>
      <c r="Y473">
        <v>67.94</v>
      </c>
    </row>
    <row r="474" spans="1:25" x14ac:dyDescent="0.3">
      <c r="A474" t="s">
        <v>26</v>
      </c>
      <c r="B474" t="s">
        <v>32</v>
      </c>
      <c r="C474" t="s">
        <v>39</v>
      </c>
      <c r="D474" s="1">
        <v>44669</v>
      </c>
      <c r="E474">
        <v>46054686</v>
      </c>
      <c r="F474">
        <v>14715</v>
      </c>
      <c r="G474">
        <v>25</v>
      </c>
      <c r="H474">
        <v>9646</v>
      </c>
      <c r="I474">
        <v>333103</v>
      </c>
      <c r="J474">
        <v>14496</v>
      </c>
      <c r="K474">
        <v>8865</v>
      </c>
      <c r="L474">
        <v>46</v>
      </c>
      <c r="M474">
        <v>126202</v>
      </c>
      <c r="N474">
        <v>210254</v>
      </c>
      <c r="O474">
        <v>9756</v>
      </c>
      <c r="P474">
        <v>1115906</v>
      </c>
      <c r="Q474">
        <v>19.66</v>
      </c>
      <c r="R474">
        <v>8280974</v>
      </c>
      <c r="S474">
        <v>32696882</v>
      </c>
      <c r="T474">
        <v>7868653</v>
      </c>
      <c r="U474">
        <v>10.35</v>
      </c>
      <c r="V474">
        <v>4.93</v>
      </c>
      <c r="W474">
        <v>2943</v>
      </c>
      <c r="X474">
        <v>2.77</v>
      </c>
      <c r="Y474">
        <v>45.12</v>
      </c>
    </row>
    <row r="475" spans="1:25" x14ac:dyDescent="0.3">
      <c r="A475" t="s">
        <v>31</v>
      </c>
      <c r="B475" t="s">
        <v>32</v>
      </c>
      <c r="C475" t="s">
        <v>41</v>
      </c>
      <c r="D475" s="1">
        <v>44670</v>
      </c>
      <c r="E475">
        <v>24433622</v>
      </c>
      <c r="F475">
        <v>5147</v>
      </c>
      <c r="G475">
        <v>39.200000000000003</v>
      </c>
      <c r="H475">
        <v>14543</v>
      </c>
      <c r="I475">
        <v>404666</v>
      </c>
      <c r="J475">
        <v>12062</v>
      </c>
      <c r="K475">
        <v>38646</v>
      </c>
      <c r="L475">
        <v>621</v>
      </c>
      <c r="M475">
        <v>74027</v>
      </c>
      <c r="N475">
        <v>137977</v>
      </c>
      <c r="O475">
        <v>9692</v>
      </c>
      <c r="P475">
        <v>703726</v>
      </c>
      <c r="Q475">
        <v>15.22</v>
      </c>
      <c r="R475">
        <v>24462139</v>
      </c>
      <c r="S475">
        <v>13817258</v>
      </c>
      <c r="T475">
        <v>29037847</v>
      </c>
      <c r="U475">
        <v>25.35</v>
      </c>
      <c r="V475">
        <v>4.49</v>
      </c>
      <c r="W475">
        <v>1994</v>
      </c>
      <c r="X475">
        <v>4.18</v>
      </c>
      <c r="Y475">
        <v>33.36</v>
      </c>
    </row>
    <row r="476" spans="1:25" x14ac:dyDescent="0.3">
      <c r="A476" t="s">
        <v>30</v>
      </c>
      <c r="B476" t="s">
        <v>36</v>
      </c>
      <c r="C476" t="s">
        <v>41</v>
      </c>
      <c r="D476" s="1">
        <v>44671</v>
      </c>
      <c r="E476">
        <v>1916953</v>
      </c>
      <c r="F476">
        <v>8690</v>
      </c>
      <c r="G476">
        <v>38.299999999999997</v>
      </c>
      <c r="H476">
        <v>23785</v>
      </c>
      <c r="I476">
        <v>319166</v>
      </c>
      <c r="J476">
        <v>9850</v>
      </c>
      <c r="K476">
        <v>10849</v>
      </c>
      <c r="L476">
        <v>1223</v>
      </c>
      <c r="M476">
        <v>147011</v>
      </c>
      <c r="N476">
        <v>213496</v>
      </c>
      <c r="O476">
        <v>6412</v>
      </c>
      <c r="P476">
        <v>859754</v>
      </c>
      <c r="Q476">
        <v>10.29</v>
      </c>
      <c r="R476">
        <v>31124126</v>
      </c>
      <c r="S476">
        <v>30959512</v>
      </c>
      <c r="T476">
        <v>11654720</v>
      </c>
      <c r="U476">
        <v>91.9</v>
      </c>
      <c r="V476">
        <v>8.9499999999999993</v>
      </c>
      <c r="W476">
        <v>905</v>
      </c>
      <c r="X476">
        <v>2.73</v>
      </c>
      <c r="Y476">
        <v>30.36</v>
      </c>
    </row>
    <row r="477" spans="1:25" x14ac:dyDescent="0.3">
      <c r="A477" t="s">
        <v>30</v>
      </c>
      <c r="B477" t="s">
        <v>33</v>
      </c>
      <c r="C477" t="s">
        <v>38</v>
      </c>
      <c r="D477" s="1">
        <v>44672</v>
      </c>
      <c r="E477">
        <v>30750211</v>
      </c>
      <c r="F477">
        <v>1998</v>
      </c>
      <c r="G477">
        <v>37</v>
      </c>
      <c r="H477">
        <v>32406</v>
      </c>
      <c r="I477">
        <v>784258</v>
      </c>
      <c r="J477">
        <v>27701</v>
      </c>
      <c r="K477">
        <v>20</v>
      </c>
      <c r="L477">
        <v>426</v>
      </c>
      <c r="M477">
        <v>750480</v>
      </c>
      <c r="N477">
        <v>390500</v>
      </c>
      <c r="O477">
        <v>4865</v>
      </c>
      <c r="P477">
        <v>1938326</v>
      </c>
      <c r="Q477">
        <v>5.53</v>
      </c>
      <c r="R477">
        <v>5067579</v>
      </c>
      <c r="S477">
        <v>15182921</v>
      </c>
      <c r="T477">
        <v>15746479</v>
      </c>
      <c r="U477">
        <v>66.989999999999995</v>
      </c>
      <c r="V477">
        <v>4.6500000000000004</v>
      </c>
      <c r="W477">
        <v>3565</v>
      </c>
      <c r="X477">
        <v>2.63</v>
      </c>
      <c r="Y477">
        <v>41.09</v>
      </c>
    </row>
    <row r="478" spans="1:25" x14ac:dyDescent="0.3">
      <c r="A478" t="s">
        <v>26</v>
      </c>
      <c r="B478" t="s">
        <v>34</v>
      </c>
      <c r="C478" t="s">
        <v>39</v>
      </c>
      <c r="D478" s="1">
        <v>44673</v>
      </c>
      <c r="E478">
        <v>19971461</v>
      </c>
      <c r="F478">
        <v>5668</v>
      </c>
      <c r="G478">
        <v>18.5</v>
      </c>
      <c r="H478">
        <v>52428</v>
      </c>
      <c r="I478">
        <v>849423</v>
      </c>
      <c r="J478">
        <v>34731</v>
      </c>
      <c r="K478">
        <v>39108</v>
      </c>
      <c r="L478">
        <v>209</v>
      </c>
      <c r="M478">
        <v>829167</v>
      </c>
      <c r="N478">
        <v>226056</v>
      </c>
      <c r="O478">
        <v>15</v>
      </c>
      <c r="P478">
        <v>570601</v>
      </c>
      <c r="Q478">
        <v>3.19</v>
      </c>
      <c r="R478">
        <v>19933946</v>
      </c>
      <c r="S478">
        <v>14433704</v>
      </c>
      <c r="T478">
        <v>9226377</v>
      </c>
      <c r="U478">
        <v>1.34</v>
      </c>
      <c r="V478">
        <v>1.22</v>
      </c>
      <c r="W478">
        <v>2696</v>
      </c>
      <c r="X478">
        <v>4.53</v>
      </c>
      <c r="Y478">
        <v>2.31</v>
      </c>
    </row>
    <row r="479" spans="1:25" x14ac:dyDescent="0.3">
      <c r="A479" t="s">
        <v>28</v>
      </c>
      <c r="B479" t="s">
        <v>33</v>
      </c>
      <c r="C479" t="s">
        <v>39</v>
      </c>
      <c r="D479" s="1">
        <v>44674</v>
      </c>
      <c r="E479">
        <v>29788010</v>
      </c>
      <c r="F479">
        <v>4286</v>
      </c>
      <c r="G479">
        <v>41.3</v>
      </c>
      <c r="H479">
        <v>24777</v>
      </c>
      <c r="I479">
        <v>172999</v>
      </c>
      <c r="J479">
        <v>5153</v>
      </c>
      <c r="K479">
        <v>47839</v>
      </c>
      <c r="L479">
        <v>887</v>
      </c>
      <c r="M479">
        <v>683519</v>
      </c>
      <c r="N479">
        <v>455344</v>
      </c>
      <c r="O479">
        <v>605</v>
      </c>
      <c r="P479">
        <v>235729</v>
      </c>
      <c r="Q479">
        <v>29.08</v>
      </c>
      <c r="R479">
        <v>32410937</v>
      </c>
      <c r="S479">
        <v>29398207</v>
      </c>
      <c r="T479">
        <v>27696396</v>
      </c>
      <c r="U479">
        <v>20.46</v>
      </c>
      <c r="V479">
        <v>9.49</v>
      </c>
      <c r="W479">
        <v>3244</v>
      </c>
      <c r="X479">
        <v>3.97</v>
      </c>
      <c r="Y479">
        <v>66.849999999999994</v>
      </c>
    </row>
    <row r="480" spans="1:25" x14ac:dyDescent="0.3">
      <c r="A480" t="s">
        <v>25</v>
      </c>
      <c r="B480" t="s">
        <v>35</v>
      </c>
      <c r="C480" t="s">
        <v>39</v>
      </c>
      <c r="D480" s="1">
        <v>44675</v>
      </c>
      <c r="E480">
        <v>921280</v>
      </c>
      <c r="F480">
        <v>1970</v>
      </c>
      <c r="G480">
        <v>28.4</v>
      </c>
      <c r="H480">
        <v>58939</v>
      </c>
      <c r="I480">
        <v>756737</v>
      </c>
      <c r="J480">
        <v>10481</v>
      </c>
      <c r="K480">
        <v>9240</v>
      </c>
      <c r="L480">
        <v>1443</v>
      </c>
      <c r="M480">
        <v>287620</v>
      </c>
      <c r="N480">
        <v>181944</v>
      </c>
      <c r="O480">
        <v>9573</v>
      </c>
      <c r="P480">
        <v>758071</v>
      </c>
      <c r="Q480">
        <v>5.99</v>
      </c>
      <c r="R480">
        <v>2129708</v>
      </c>
      <c r="S480">
        <v>3189948</v>
      </c>
      <c r="T480">
        <v>18894563</v>
      </c>
      <c r="U480">
        <v>68.28</v>
      </c>
      <c r="V480">
        <v>9.25</v>
      </c>
      <c r="W480">
        <v>4565</v>
      </c>
      <c r="X480">
        <v>4.55</v>
      </c>
      <c r="Y480">
        <v>84.51</v>
      </c>
    </row>
    <row r="481" spans="1:25" x14ac:dyDescent="0.3">
      <c r="A481" t="s">
        <v>25</v>
      </c>
      <c r="B481" t="s">
        <v>36</v>
      </c>
      <c r="C481" t="s">
        <v>37</v>
      </c>
      <c r="D481" s="1">
        <v>44676</v>
      </c>
      <c r="E481">
        <v>1409245</v>
      </c>
      <c r="F481">
        <v>11219</v>
      </c>
      <c r="G481">
        <v>39.299999999999997</v>
      </c>
      <c r="H481">
        <v>54026</v>
      </c>
      <c r="I481">
        <v>312997</v>
      </c>
      <c r="J481">
        <v>33734</v>
      </c>
      <c r="K481">
        <v>40242</v>
      </c>
      <c r="L481">
        <v>153</v>
      </c>
      <c r="M481">
        <v>235811</v>
      </c>
      <c r="N481">
        <v>445420</v>
      </c>
      <c r="O481">
        <v>4908</v>
      </c>
      <c r="P481">
        <v>1338752</v>
      </c>
      <c r="Q481">
        <v>1.8</v>
      </c>
      <c r="R481">
        <v>49777433</v>
      </c>
      <c r="S481">
        <v>31608843</v>
      </c>
      <c r="T481">
        <v>11955400</v>
      </c>
      <c r="U481">
        <v>76.44</v>
      </c>
      <c r="V481">
        <v>7</v>
      </c>
      <c r="W481">
        <v>4854</v>
      </c>
      <c r="X481">
        <v>1.17</v>
      </c>
      <c r="Y481">
        <v>35.46</v>
      </c>
    </row>
    <row r="482" spans="1:25" x14ac:dyDescent="0.3">
      <c r="A482" t="s">
        <v>26</v>
      </c>
      <c r="B482" t="s">
        <v>33</v>
      </c>
      <c r="C482" t="s">
        <v>41</v>
      </c>
      <c r="D482" s="1">
        <v>44677</v>
      </c>
      <c r="E482">
        <v>16493238</v>
      </c>
      <c r="F482">
        <v>4238</v>
      </c>
      <c r="G482">
        <v>35.799999999999997</v>
      </c>
      <c r="H482">
        <v>30553</v>
      </c>
      <c r="I482">
        <v>32826</v>
      </c>
      <c r="J482">
        <v>889</v>
      </c>
      <c r="K482">
        <v>47524</v>
      </c>
      <c r="L482">
        <v>1545</v>
      </c>
      <c r="M482">
        <v>869575</v>
      </c>
      <c r="N482">
        <v>466932</v>
      </c>
      <c r="O482">
        <v>8006</v>
      </c>
      <c r="P482">
        <v>1534755</v>
      </c>
      <c r="Q482">
        <v>28.85</v>
      </c>
      <c r="R482">
        <v>36659813</v>
      </c>
      <c r="S482">
        <v>27375854</v>
      </c>
      <c r="T482">
        <v>4807821</v>
      </c>
      <c r="U482">
        <v>83.99</v>
      </c>
      <c r="V482">
        <v>4.9400000000000004</v>
      </c>
      <c r="W482">
        <v>2648</v>
      </c>
      <c r="X482">
        <v>2.67</v>
      </c>
      <c r="Y482">
        <v>4.5999999999999996</v>
      </c>
    </row>
    <row r="483" spans="1:25" x14ac:dyDescent="0.3">
      <c r="A483" t="s">
        <v>29</v>
      </c>
      <c r="B483" t="s">
        <v>32</v>
      </c>
      <c r="C483" t="s">
        <v>39</v>
      </c>
      <c r="D483" s="1">
        <v>44678</v>
      </c>
      <c r="E483">
        <v>48927722</v>
      </c>
      <c r="F483">
        <v>12257</v>
      </c>
      <c r="G483">
        <v>29</v>
      </c>
      <c r="H483">
        <v>24548</v>
      </c>
      <c r="I483">
        <v>830311</v>
      </c>
      <c r="J483">
        <v>19445</v>
      </c>
      <c r="K483">
        <v>35781</v>
      </c>
      <c r="L483">
        <v>414</v>
      </c>
      <c r="M483">
        <v>723725</v>
      </c>
      <c r="N483">
        <v>101522</v>
      </c>
      <c r="O483">
        <v>9086</v>
      </c>
      <c r="P483">
        <v>149430</v>
      </c>
      <c r="Q483">
        <v>16.47</v>
      </c>
      <c r="R483">
        <v>35658147</v>
      </c>
      <c r="S483">
        <v>11650919</v>
      </c>
      <c r="T483">
        <v>14531171</v>
      </c>
      <c r="U483">
        <v>29.22</v>
      </c>
      <c r="V483">
        <v>1.38</v>
      </c>
      <c r="W483">
        <v>1403</v>
      </c>
      <c r="X483">
        <v>4.2300000000000004</v>
      </c>
      <c r="Y483">
        <v>98.68</v>
      </c>
    </row>
    <row r="484" spans="1:25" x14ac:dyDescent="0.3">
      <c r="A484" t="s">
        <v>29</v>
      </c>
      <c r="B484" t="s">
        <v>35</v>
      </c>
      <c r="C484" t="s">
        <v>39</v>
      </c>
      <c r="D484" s="1">
        <v>44679</v>
      </c>
      <c r="E484">
        <v>34647064</v>
      </c>
      <c r="F484">
        <v>288</v>
      </c>
      <c r="G484">
        <v>22.3</v>
      </c>
      <c r="H484">
        <v>64221</v>
      </c>
      <c r="I484">
        <v>713625</v>
      </c>
      <c r="J484">
        <v>6461</v>
      </c>
      <c r="K484">
        <v>29266</v>
      </c>
      <c r="L484">
        <v>1376</v>
      </c>
      <c r="M484">
        <v>370275</v>
      </c>
      <c r="N484">
        <v>351544</v>
      </c>
      <c r="O484">
        <v>9759</v>
      </c>
      <c r="P484">
        <v>1042431</v>
      </c>
      <c r="Q484">
        <v>23.9</v>
      </c>
      <c r="R484">
        <v>21182515</v>
      </c>
      <c r="S484">
        <v>48720</v>
      </c>
      <c r="T484">
        <v>27375241</v>
      </c>
      <c r="U484">
        <v>93.1</v>
      </c>
      <c r="V484">
        <v>8.01</v>
      </c>
      <c r="W484">
        <v>2085</v>
      </c>
      <c r="X484">
        <v>0.64</v>
      </c>
      <c r="Y484">
        <v>26.37</v>
      </c>
    </row>
    <row r="485" spans="1:25" x14ac:dyDescent="0.3">
      <c r="A485" t="s">
        <v>25</v>
      </c>
      <c r="B485" t="s">
        <v>35</v>
      </c>
      <c r="C485" t="s">
        <v>37</v>
      </c>
      <c r="D485" s="1">
        <v>44680</v>
      </c>
      <c r="E485">
        <v>12925714</v>
      </c>
      <c r="F485">
        <v>254</v>
      </c>
      <c r="G485">
        <v>21</v>
      </c>
      <c r="H485">
        <v>38265</v>
      </c>
      <c r="I485">
        <v>597649</v>
      </c>
      <c r="J485">
        <v>38934</v>
      </c>
      <c r="K485">
        <v>25661</v>
      </c>
      <c r="L485">
        <v>1180</v>
      </c>
      <c r="M485">
        <v>724166</v>
      </c>
      <c r="N485">
        <v>268874</v>
      </c>
      <c r="O485">
        <v>6412</v>
      </c>
      <c r="P485">
        <v>1897718</v>
      </c>
      <c r="Q485">
        <v>1.31</v>
      </c>
      <c r="R485">
        <v>2636594</v>
      </c>
      <c r="S485">
        <v>15960516</v>
      </c>
      <c r="T485">
        <v>24378023</v>
      </c>
      <c r="U485">
        <v>55.29</v>
      </c>
      <c r="V485">
        <v>1.22</v>
      </c>
      <c r="W485">
        <v>2930</v>
      </c>
      <c r="X485">
        <v>3.99</v>
      </c>
      <c r="Y485">
        <v>12.66</v>
      </c>
    </row>
    <row r="486" spans="1:25" x14ac:dyDescent="0.3">
      <c r="A486" t="s">
        <v>25</v>
      </c>
      <c r="B486" t="s">
        <v>33</v>
      </c>
      <c r="C486" t="s">
        <v>37</v>
      </c>
      <c r="D486" s="1">
        <v>44681</v>
      </c>
      <c r="E486">
        <v>30420720</v>
      </c>
      <c r="F486">
        <v>10849</v>
      </c>
      <c r="G486">
        <v>44.6</v>
      </c>
      <c r="H486">
        <v>41701</v>
      </c>
      <c r="I486">
        <v>241028</v>
      </c>
      <c r="J486">
        <v>28205</v>
      </c>
      <c r="K486">
        <v>32393</v>
      </c>
      <c r="L486">
        <v>1284</v>
      </c>
      <c r="M486">
        <v>581485</v>
      </c>
      <c r="N486">
        <v>386718</v>
      </c>
      <c r="O486">
        <v>8605</v>
      </c>
      <c r="P486">
        <v>1407046</v>
      </c>
      <c r="Q486">
        <v>17.010000000000002</v>
      </c>
      <c r="R486">
        <v>23789052</v>
      </c>
      <c r="S486">
        <v>18364798</v>
      </c>
      <c r="T486">
        <v>22192022</v>
      </c>
      <c r="U486">
        <v>69.650000000000006</v>
      </c>
      <c r="V486">
        <v>1.1499999999999999</v>
      </c>
      <c r="W486">
        <v>729</v>
      </c>
      <c r="X486">
        <v>1</v>
      </c>
      <c r="Y486">
        <v>36.979999999999997</v>
      </c>
    </row>
    <row r="487" spans="1:25" x14ac:dyDescent="0.3">
      <c r="A487" t="s">
        <v>30</v>
      </c>
      <c r="B487" t="s">
        <v>33</v>
      </c>
      <c r="C487" t="s">
        <v>39</v>
      </c>
      <c r="D487" s="1">
        <v>44682</v>
      </c>
      <c r="E487">
        <v>27138002</v>
      </c>
      <c r="F487">
        <v>5602</v>
      </c>
      <c r="G487">
        <v>47.4</v>
      </c>
      <c r="H487">
        <v>52287</v>
      </c>
      <c r="I487">
        <v>341134</v>
      </c>
      <c r="J487">
        <v>23351</v>
      </c>
      <c r="K487">
        <v>39973</v>
      </c>
      <c r="L487">
        <v>1100</v>
      </c>
      <c r="M487">
        <v>595170</v>
      </c>
      <c r="N487">
        <v>361113</v>
      </c>
      <c r="O487">
        <v>4120</v>
      </c>
      <c r="P487">
        <v>1397877</v>
      </c>
      <c r="Q487">
        <v>11.95</v>
      </c>
      <c r="R487">
        <v>36853680</v>
      </c>
      <c r="S487">
        <v>29851695</v>
      </c>
      <c r="T487">
        <v>12422754</v>
      </c>
      <c r="U487">
        <v>59.67</v>
      </c>
      <c r="V487">
        <v>5.61</v>
      </c>
      <c r="W487">
        <v>536</v>
      </c>
      <c r="X487">
        <v>4.0599999999999996</v>
      </c>
      <c r="Y487">
        <v>73.86</v>
      </c>
    </row>
    <row r="488" spans="1:25" x14ac:dyDescent="0.3">
      <c r="A488" t="s">
        <v>28</v>
      </c>
      <c r="B488" t="s">
        <v>36</v>
      </c>
      <c r="C488" t="s">
        <v>40</v>
      </c>
      <c r="D488" s="1">
        <v>44683</v>
      </c>
      <c r="E488">
        <v>16939220</v>
      </c>
      <c r="F488">
        <v>4977</v>
      </c>
      <c r="G488">
        <v>38.799999999999997</v>
      </c>
      <c r="H488">
        <v>7727</v>
      </c>
      <c r="I488">
        <v>352931</v>
      </c>
      <c r="J488">
        <v>16006</v>
      </c>
      <c r="K488">
        <v>13672</v>
      </c>
      <c r="L488">
        <v>768</v>
      </c>
      <c r="M488">
        <v>803583</v>
      </c>
      <c r="N488">
        <v>277945</v>
      </c>
      <c r="O488">
        <v>8507</v>
      </c>
      <c r="P488">
        <v>443037</v>
      </c>
      <c r="Q488">
        <v>23.16</v>
      </c>
      <c r="R488">
        <v>39286988</v>
      </c>
      <c r="S488">
        <v>6973648</v>
      </c>
      <c r="T488">
        <v>11847478</v>
      </c>
      <c r="U488">
        <v>12.27</v>
      </c>
      <c r="V488">
        <v>2.02</v>
      </c>
      <c r="W488">
        <v>3670</v>
      </c>
      <c r="X488">
        <v>3.1</v>
      </c>
      <c r="Y488">
        <v>29.39</v>
      </c>
    </row>
    <row r="489" spans="1:25" x14ac:dyDescent="0.3">
      <c r="A489" t="s">
        <v>31</v>
      </c>
      <c r="B489" t="s">
        <v>34</v>
      </c>
      <c r="C489" t="s">
        <v>39</v>
      </c>
      <c r="D489" s="1">
        <v>44684</v>
      </c>
      <c r="E489">
        <v>12759034</v>
      </c>
      <c r="F489">
        <v>11214</v>
      </c>
      <c r="G489">
        <v>21.3</v>
      </c>
      <c r="H489">
        <v>51717</v>
      </c>
      <c r="I489">
        <v>218256</v>
      </c>
      <c r="J489">
        <v>44149</v>
      </c>
      <c r="K489">
        <v>13749</v>
      </c>
      <c r="L489">
        <v>982</v>
      </c>
      <c r="M489">
        <v>180616</v>
      </c>
      <c r="N489">
        <v>146031</v>
      </c>
      <c r="O489">
        <v>4666</v>
      </c>
      <c r="P489">
        <v>29365</v>
      </c>
      <c r="Q489">
        <v>1.1499999999999999</v>
      </c>
      <c r="R489">
        <v>16538600</v>
      </c>
      <c r="S489">
        <v>21377600</v>
      </c>
      <c r="T489">
        <v>27461438</v>
      </c>
      <c r="U489">
        <v>96.31</v>
      </c>
      <c r="V489">
        <v>0.56999999999999995</v>
      </c>
      <c r="W489">
        <v>3700</v>
      </c>
      <c r="X489">
        <v>1.05</v>
      </c>
      <c r="Y489">
        <v>57.47</v>
      </c>
    </row>
    <row r="490" spans="1:25" x14ac:dyDescent="0.3">
      <c r="A490" t="s">
        <v>29</v>
      </c>
      <c r="B490" t="s">
        <v>33</v>
      </c>
      <c r="C490" t="s">
        <v>39</v>
      </c>
      <c r="D490" s="1">
        <v>44685</v>
      </c>
      <c r="E490">
        <v>6230385</v>
      </c>
      <c r="F490">
        <v>4440</v>
      </c>
      <c r="G490">
        <v>30.9</v>
      </c>
      <c r="H490">
        <v>33427</v>
      </c>
      <c r="I490">
        <v>41736</v>
      </c>
      <c r="J490">
        <v>49112</v>
      </c>
      <c r="K490">
        <v>48366</v>
      </c>
      <c r="L490">
        <v>1511</v>
      </c>
      <c r="M490">
        <v>15133</v>
      </c>
      <c r="N490">
        <v>414499</v>
      </c>
      <c r="O490">
        <v>4820</v>
      </c>
      <c r="P490">
        <v>1324909</v>
      </c>
      <c r="Q490">
        <v>12.05</v>
      </c>
      <c r="R490">
        <v>33816760</v>
      </c>
      <c r="S490">
        <v>29972794</v>
      </c>
      <c r="T490">
        <v>26508102</v>
      </c>
      <c r="U490">
        <v>12.29</v>
      </c>
      <c r="V490">
        <v>4.5199999999999996</v>
      </c>
      <c r="W490">
        <v>4768</v>
      </c>
      <c r="X490">
        <v>2.42</v>
      </c>
      <c r="Y490">
        <v>41.56</v>
      </c>
    </row>
    <row r="491" spans="1:25" x14ac:dyDescent="0.3">
      <c r="A491" t="s">
        <v>25</v>
      </c>
      <c r="B491" t="s">
        <v>33</v>
      </c>
      <c r="C491" t="s">
        <v>37</v>
      </c>
      <c r="D491" s="1">
        <v>44686</v>
      </c>
      <c r="E491">
        <v>26080123</v>
      </c>
      <c r="F491">
        <v>19121</v>
      </c>
      <c r="G491">
        <v>41.3</v>
      </c>
      <c r="H491">
        <v>17692</v>
      </c>
      <c r="I491">
        <v>287674</v>
      </c>
      <c r="J491">
        <v>10940</v>
      </c>
      <c r="K491">
        <v>1799</v>
      </c>
      <c r="L491">
        <v>1154</v>
      </c>
      <c r="M491">
        <v>79664</v>
      </c>
      <c r="N491">
        <v>433754</v>
      </c>
      <c r="O491">
        <v>7835</v>
      </c>
      <c r="P491">
        <v>1519541</v>
      </c>
      <c r="Q491">
        <v>23.97</v>
      </c>
      <c r="R491">
        <v>26490863</v>
      </c>
      <c r="S491">
        <v>13624049</v>
      </c>
      <c r="T491">
        <v>18615209</v>
      </c>
      <c r="U491">
        <v>25.49</v>
      </c>
      <c r="V491">
        <v>1.8</v>
      </c>
      <c r="W491">
        <v>1488</v>
      </c>
      <c r="X491">
        <v>3.44</v>
      </c>
      <c r="Y491">
        <v>11.78</v>
      </c>
    </row>
    <row r="492" spans="1:25" x14ac:dyDescent="0.3">
      <c r="A492" t="s">
        <v>30</v>
      </c>
      <c r="B492" t="s">
        <v>32</v>
      </c>
      <c r="C492" t="s">
        <v>37</v>
      </c>
      <c r="D492" s="1">
        <v>44687</v>
      </c>
      <c r="E492">
        <v>36435918</v>
      </c>
      <c r="F492">
        <v>15691</v>
      </c>
      <c r="G492">
        <v>43</v>
      </c>
      <c r="H492">
        <v>32625</v>
      </c>
      <c r="I492">
        <v>210124</v>
      </c>
      <c r="J492">
        <v>11258</v>
      </c>
      <c r="K492">
        <v>19430</v>
      </c>
      <c r="L492">
        <v>578</v>
      </c>
      <c r="M492">
        <v>787501</v>
      </c>
      <c r="N492">
        <v>359529</v>
      </c>
      <c r="O492">
        <v>1849</v>
      </c>
      <c r="P492">
        <v>1581112</v>
      </c>
      <c r="Q492">
        <v>15.68</v>
      </c>
      <c r="R492">
        <v>24237745</v>
      </c>
      <c r="S492">
        <v>39854065</v>
      </c>
      <c r="T492">
        <v>20771170</v>
      </c>
      <c r="U492">
        <v>81.36</v>
      </c>
      <c r="V492">
        <v>2.02</v>
      </c>
      <c r="W492">
        <v>4364</v>
      </c>
      <c r="X492">
        <v>3.21</v>
      </c>
      <c r="Y492">
        <v>33.03</v>
      </c>
    </row>
    <row r="493" spans="1:25" x14ac:dyDescent="0.3">
      <c r="A493" t="s">
        <v>27</v>
      </c>
      <c r="B493" t="s">
        <v>35</v>
      </c>
      <c r="C493" t="s">
        <v>39</v>
      </c>
      <c r="D493" s="1">
        <v>44688</v>
      </c>
      <c r="E493">
        <v>47868963</v>
      </c>
      <c r="F493">
        <v>6210</v>
      </c>
      <c r="G493">
        <v>21.8</v>
      </c>
      <c r="H493">
        <v>25918</v>
      </c>
      <c r="I493">
        <v>179130</v>
      </c>
      <c r="J493">
        <v>24485</v>
      </c>
      <c r="K493">
        <v>23771</v>
      </c>
      <c r="L493">
        <v>1478</v>
      </c>
      <c r="M493">
        <v>453616</v>
      </c>
      <c r="N493">
        <v>117656</v>
      </c>
      <c r="O493">
        <v>1953</v>
      </c>
      <c r="P493">
        <v>1053945</v>
      </c>
      <c r="Q493">
        <v>16.5</v>
      </c>
      <c r="R493">
        <v>42094561</v>
      </c>
      <c r="S493">
        <v>9821646</v>
      </c>
      <c r="T493">
        <v>16820801</v>
      </c>
      <c r="U493">
        <v>61.86</v>
      </c>
      <c r="V493">
        <v>1.23</v>
      </c>
      <c r="W493">
        <v>1534</v>
      </c>
      <c r="X493">
        <v>2.19</v>
      </c>
      <c r="Y493">
        <v>72.489999999999995</v>
      </c>
    </row>
    <row r="494" spans="1:25" x14ac:dyDescent="0.3">
      <c r="A494" t="s">
        <v>30</v>
      </c>
      <c r="B494" t="s">
        <v>34</v>
      </c>
      <c r="C494" t="s">
        <v>39</v>
      </c>
      <c r="D494" s="1">
        <v>44689</v>
      </c>
      <c r="E494">
        <v>42222758</v>
      </c>
      <c r="F494">
        <v>15860</v>
      </c>
      <c r="G494">
        <v>18</v>
      </c>
      <c r="H494">
        <v>42136</v>
      </c>
      <c r="I494">
        <v>631368</v>
      </c>
      <c r="J494">
        <v>23763</v>
      </c>
      <c r="K494">
        <v>40376</v>
      </c>
      <c r="L494">
        <v>739</v>
      </c>
      <c r="M494">
        <v>854441</v>
      </c>
      <c r="N494">
        <v>228595</v>
      </c>
      <c r="O494">
        <v>8580</v>
      </c>
      <c r="P494">
        <v>457979</v>
      </c>
      <c r="Q494">
        <v>2.91</v>
      </c>
      <c r="R494">
        <v>4512781</v>
      </c>
      <c r="S494">
        <v>39558907</v>
      </c>
      <c r="T494">
        <v>22235982</v>
      </c>
      <c r="U494">
        <v>83.81</v>
      </c>
      <c r="V494">
        <v>2.4500000000000002</v>
      </c>
      <c r="W494">
        <v>740</v>
      </c>
      <c r="X494">
        <v>4.51</v>
      </c>
      <c r="Y494">
        <v>61.2</v>
      </c>
    </row>
    <row r="495" spans="1:25" x14ac:dyDescent="0.3">
      <c r="A495" t="s">
        <v>29</v>
      </c>
      <c r="B495" t="s">
        <v>32</v>
      </c>
      <c r="C495" t="s">
        <v>39</v>
      </c>
      <c r="D495" s="1">
        <v>44690</v>
      </c>
      <c r="E495">
        <v>13050508</v>
      </c>
      <c r="F495">
        <v>5176</v>
      </c>
      <c r="G495">
        <v>40.799999999999997</v>
      </c>
      <c r="H495">
        <v>53409</v>
      </c>
      <c r="I495">
        <v>468310</v>
      </c>
      <c r="J495">
        <v>40048</v>
      </c>
      <c r="K495">
        <v>37616</v>
      </c>
      <c r="L495">
        <v>162</v>
      </c>
      <c r="M495">
        <v>123925</v>
      </c>
      <c r="N495">
        <v>254909</v>
      </c>
      <c r="O495">
        <v>2769</v>
      </c>
      <c r="P495">
        <v>1975130</v>
      </c>
      <c r="Q495">
        <v>3.97</v>
      </c>
      <c r="R495">
        <v>1876213</v>
      </c>
      <c r="S495">
        <v>9974890</v>
      </c>
      <c r="T495">
        <v>21273928</v>
      </c>
      <c r="U495">
        <v>51.57</v>
      </c>
      <c r="V495">
        <v>7.3</v>
      </c>
      <c r="W495">
        <v>1062</v>
      </c>
      <c r="X495">
        <v>2.64</v>
      </c>
      <c r="Y495">
        <v>11.98</v>
      </c>
    </row>
    <row r="496" spans="1:25" x14ac:dyDescent="0.3">
      <c r="A496" t="s">
        <v>29</v>
      </c>
      <c r="B496" t="s">
        <v>36</v>
      </c>
      <c r="C496" t="s">
        <v>37</v>
      </c>
      <c r="D496" s="1">
        <v>44691</v>
      </c>
      <c r="E496">
        <v>33714626</v>
      </c>
      <c r="F496">
        <v>866</v>
      </c>
      <c r="G496">
        <v>29.4</v>
      </c>
      <c r="H496">
        <v>16577</v>
      </c>
      <c r="I496">
        <v>337399</v>
      </c>
      <c r="J496">
        <v>1067</v>
      </c>
      <c r="K496">
        <v>38650</v>
      </c>
      <c r="L496">
        <v>1038</v>
      </c>
      <c r="M496">
        <v>888058</v>
      </c>
      <c r="N496">
        <v>435560</v>
      </c>
      <c r="O496">
        <v>3046</v>
      </c>
      <c r="P496">
        <v>1864613</v>
      </c>
      <c r="Q496">
        <v>20.309999999999999</v>
      </c>
      <c r="R496">
        <v>27797690</v>
      </c>
      <c r="S496">
        <v>12037458</v>
      </c>
      <c r="T496">
        <v>6717998</v>
      </c>
      <c r="U496">
        <v>37.700000000000003</v>
      </c>
      <c r="V496">
        <v>8.18</v>
      </c>
      <c r="W496">
        <v>4592</v>
      </c>
      <c r="X496">
        <v>2.58</v>
      </c>
      <c r="Y496">
        <v>16.329999999999998</v>
      </c>
    </row>
    <row r="497" spans="1:25" x14ac:dyDescent="0.3">
      <c r="A497" t="s">
        <v>30</v>
      </c>
      <c r="B497" t="s">
        <v>36</v>
      </c>
      <c r="C497" t="s">
        <v>39</v>
      </c>
      <c r="D497" s="1">
        <v>44692</v>
      </c>
      <c r="E497">
        <v>44360083</v>
      </c>
      <c r="F497">
        <v>13464</v>
      </c>
      <c r="G497">
        <v>26.1</v>
      </c>
      <c r="H497">
        <v>28689</v>
      </c>
      <c r="I497">
        <v>661246</v>
      </c>
      <c r="J497">
        <v>20607</v>
      </c>
      <c r="K497">
        <v>44145</v>
      </c>
      <c r="L497">
        <v>1255</v>
      </c>
      <c r="M497">
        <v>775008</v>
      </c>
      <c r="N497">
        <v>205484</v>
      </c>
      <c r="O497">
        <v>7594</v>
      </c>
      <c r="P497">
        <v>1885624</v>
      </c>
      <c r="Q497">
        <v>20.25</v>
      </c>
      <c r="R497">
        <v>32251216</v>
      </c>
      <c r="S497">
        <v>21932974</v>
      </c>
      <c r="T497">
        <v>14502736</v>
      </c>
      <c r="U497">
        <v>92.18</v>
      </c>
      <c r="V497">
        <v>4.8</v>
      </c>
      <c r="W497">
        <v>2397</v>
      </c>
      <c r="X497">
        <v>0.41</v>
      </c>
      <c r="Y497">
        <v>64.069999999999993</v>
      </c>
    </row>
    <row r="498" spans="1:25" x14ac:dyDescent="0.3">
      <c r="A498" t="s">
        <v>31</v>
      </c>
      <c r="B498" t="s">
        <v>33</v>
      </c>
      <c r="C498" t="s">
        <v>39</v>
      </c>
      <c r="D498" s="1">
        <v>44693</v>
      </c>
      <c r="E498">
        <v>14105804</v>
      </c>
      <c r="F498">
        <v>242</v>
      </c>
      <c r="G498">
        <v>18.399999999999999</v>
      </c>
      <c r="H498">
        <v>12154</v>
      </c>
      <c r="I498">
        <v>389742</v>
      </c>
      <c r="J498">
        <v>43883</v>
      </c>
      <c r="K498">
        <v>37077</v>
      </c>
      <c r="L498">
        <v>194</v>
      </c>
      <c r="M498">
        <v>390166</v>
      </c>
      <c r="N498">
        <v>15121</v>
      </c>
      <c r="O498">
        <v>6840</v>
      </c>
      <c r="P498">
        <v>1497271</v>
      </c>
      <c r="Q498">
        <v>29.37</v>
      </c>
      <c r="R498">
        <v>2546946</v>
      </c>
      <c r="S498">
        <v>19201739</v>
      </c>
      <c r="T498">
        <v>10413949</v>
      </c>
      <c r="U498">
        <v>3.63</v>
      </c>
      <c r="V498">
        <v>5.31</v>
      </c>
      <c r="W498">
        <v>3758</v>
      </c>
      <c r="X498">
        <v>4.62</v>
      </c>
      <c r="Y498">
        <v>81.34</v>
      </c>
    </row>
    <row r="499" spans="1:25" x14ac:dyDescent="0.3">
      <c r="A499" t="s">
        <v>26</v>
      </c>
      <c r="B499" t="s">
        <v>33</v>
      </c>
      <c r="C499" t="s">
        <v>38</v>
      </c>
      <c r="D499" s="1">
        <v>44694</v>
      </c>
      <c r="E499">
        <v>7585904</v>
      </c>
      <c r="F499">
        <v>18210</v>
      </c>
      <c r="G499">
        <v>35.299999999999997</v>
      </c>
      <c r="H499">
        <v>22341</v>
      </c>
      <c r="I499">
        <v>225793</v>
      </c>
      <c r="J499">
        <v>9018</v>
      </c>
      <c r="K499">
        <v>17367</v>
      </c>
      <c r="L499">
        <v>1884</v>
      </c>
      <c r="M499">
        <v>295682</v>
      </c>
      <c r="N499">
        <v>201035</v>
      </c>
      <c r="O499">
        <v>5066</v>
      </c>
      <c r="P499">
        <v>366863</v>
      </c>
      <c r="Q499">
        <v>21.36</v>
      </c>
      <c r="R499">
        <v>12247905</v>
      </c>
      <c r="S499">
        <v>7619709</v>
      </c>
      <c r="T499">
        <v>28869862</v>
      </c>
      <c r="U499">
        <v>85.61</v>
      </c>
      <c r="V499">
        <v>0.81</v>
      </c>
      <c r="W499">
        <v>4520</v>
      </c>
      <c r="X499">
        <v>0.97</v>
      </c>
      <c r="Y499">
        <v>34.950000000000003</v>
      </c>
    </row>
    <row r="500" spans="1:25" x14ac:dyDescent="0.3">
      <c r="A500" t="s">
        <v>29</v>
      </c>
      <c r="B500" t="s">
        <v>36</v>
      </c>
      <c r="C500" t="s">
        <v>40</v>
      </c>
      <c r="D500" s="1">
        <v>44695</v>
      </c>
      <c r="E500">
        <v>14324880</v>
      </c>
      <c r="F500">
        <v>3695</v>
      </c>
      <c r="G500">
        <v>45.2</v>
      </c>
      <c r="H500">
        <v>47330</v>
      </c>
      <c r="I500">
        <v>643911</v>
      </c>
      <c r="J500">
        <v>48521</v>
      </c>
      <c r="K500">
        <v>39861</v>
      </c>
      <c r="L500">
        <v>541</v>
      </c>
      <c r="M500">
        <v>180660</v>
      </c>
      <c r="N500">
        <v>448881</v>
      </c>
      <c r="O500">
        <v>2415</v>
      </c>
      <c r="P500">
        <v>1221531</v>
      </c>
      <c r="Q500">
        <v>14.8</v>
      </c>
      <c r="R500">
        <v>21088295</v>
      </c>
      <c r="S500">
        <v>14139454</v>
      </c>
      <c r="T500">
        <v>28720435</v>
      </c>
      <c r="U500">
        <v>23.08</v>
      </c>
      <c r="V500">
        <v>1.1599999999999999</v>
      </c>
      <c r="W500">
        <v>1972</v>
      </c>
      <c r="X500">
        <v>2.69</v>
      </c>
      <c r="Y500">
        <v>59.53</v>
      </c>
    </row>
    <row r="501" spans="1:25" x14ac:dyDescent="0.3">
      <c r="A501" t="s">
        <v>30</v>
      </c>
      <c r="B501" t="s">
        <v>33</v>
      </c>
      <c r="C501" t="s">
        <v>41</v>
      </c>
      <c r="D501" s="1">
        <v>44696</v>
      </c>
      <c r="E501">
        <v>7199744</v>
      </c>
      <c r="F501">
        <v>12866</v>
      </c>
      <c r="G501">
        <v>48.6</v>
      </c>
      <c r="H501">
        <v>69416</v>
      </c>
      <c r="I501">
        <v>300531</v>
      </c>
      <c r="J501">
        <v>46946</v>
      </c>
      <c r="K501">
        <v>38272</v>
      </c>
      <c r="L501">
        <v>358</v>
      </c>
      <c r="M501">
        <v>204749</v>
      </c>
      <c r="N501">
        <v>441359</v>
      </c>
      <c r="O501">
        <v>2389</v>
      </c>
      <c r="P501">
        <v>1606919</v>
      </c>
      <c r="Q501">
        <v>25.72</v>
      </c>
      <c r="R501">
        <v>9412220</v>
      </c>
      <c r="S501">
        <v>9276497</v>
      </c>
      <c r="T501">
        <v>10089617</v>
      </c>
      <c r="U501">
        <v>84.87</v>
      </c>
      <c r="V501">
        <v>2.95</v>
      </c>
      <c r="W501">
        <v>687</v>
      </c>
      <c r="X501">
        <v>4.04</v>
      </c>
      <c r="Y501">
        <v>17.059999999999999</v>
      </c>
    </row>
    <row r="502" spans="1:25" x14ac:dyDescent="0.3">
      <c r="A502" t="s">
        <v>25</v>
      </c>
      <c r="B502" t="s">
        <v>34</v>
      </c>
      <c r="C502" t="s">
        <v>40</v>
      </c>
      <c r="D502" s="1">
        <v>44697</v>
      </c>
      <c r="E502">
        <v>11087999</v>
      </c>
      <c r="F502">
        <v>6364</v>
      </c>
      <c r="G502">
        <v>36.1</v>
      </c>
      <c r="H502">
        <v>34313</v>
      </c>
      <c r="I502">
        <v>677935</v>
      </c>
      <c r="J502">
        <v>15187</v>
      </c>
      <c r="K502">
        <v>11327</v>
      </c>
      <c r="L502">
        <v>849</v>
      </c>
      <c r="M502">
        <v>206038</v>
      </c>
      <c r="N502">
        <v>204322</v>
      </c>
      <c r="O502">
        <v>5924</v>
      </c>
      <c r="P502">
        <v>1773667</v>
      </c>
      <c r="Q502">
        <v>3.13</v>
      </c>
      <c r="R502">
        <v>34321345</v>
      </c>
      <c r="S502">
        <v>28681200</v>
      </c>
      <c r="T502">
        <v>15553687</v>
      </c>
      <c r="U502">
        <v>13.92</v>
      </c>
      <c r="V502">
        <v>5.67</v>
      </c>
      <c r="W502">
        <v>3058</v>
      </c>
      <c r="X502">
        <v>1.1599999999999999</v>
      </c>
      <c r="Y502">
        <v>31.14</v>
      </c>
    </row>
    <row r="503" spans="1:25" x14ac:dyDescent="0.3">
      <c r="A503" t="s">
        <v>30</v>
      </c>
      <c r="B503" t="s">
        <v>33</v>
      </c>
      <c r="C503" t="s">
        <v>38</v>
      </c>
      <c r="D503" s="1">
        <v>44698</v>
      </c>
      <c r="E503">
        <v>26301543</v>
      </c>
      <c r="F503">
        <v>18222</v>
      </c>
      <c r="G503">
        <v>34.5</v>
      </c>
      <c r="H503">
        <v>47900</v>
      </c>
      <c r="I503">
        <v>637548</v>
      </c>
      <c r="J503">
        <v>37375</v>
      </c>
      <c r="K503">
        <v>21544</v>
      </c>
      <c r="L503">
        <v>1354</v>
      </c>
      <c r="M503">
        <v>465932</v>
      </c>
      <c r="N503">
        <v>64461</v>
      </c>
      <c r="O503">
        <v>8495</v>
      </c>
      <c r="P503">
        <v>1428400</v>
      </c>
      <c r="Q503">
        <v>13.48</v>
      </c>
      <c r="R503">
        <v>10406873</v>
      </c>
      <c r="S503">
        <v>31676210</v>
      </c>
      <c r="T503">
        <v>927510</v>
      </c>
      <c r="U503">
        <v>58.02</v>
      </c>
      <c r="V503">
        <v>7.53</v>
      </c>
      <c r="W503">
        <v>2283</v>
      </c>
      <c r="X503">
        <v>2.68</v>
      </c>
      <c r="Y503">
        <v>2.0299999999999998</v>
      </c>
    </row>
    <row r="504" spans="1:25" x14ac:dyDescent="0.3">
      <c r="A504" t="s">
        <v>28</v>
      </c>
      <c r="B504" t="s">
        <v>35</v>
      </c>
      <c r="C504" t="s">
        <v>41</v>
      </c>
      <c r="D504" s="1">
        <v>44699</v>
      </c>
      <c r="E504">
        <v>36855877</v>
      </c>
      <c r="F504">
        <v>7424</v>
      </c>
      <c r="G504">
        <v>20.7</v>
      </c>
      <c r="H504">
        <v>35695</v>
      </c>
      <c r="I504">
        <v>433859</v>
      </c>
      <c r="J504">
        <v>3985</v>
      </c>
      <c r="K504">
        <v>25744</v>
      </c>
      <c r="L504">
        <v>426</v>
      </c>
      <c r="M504">
        <v>722653</v>
      </c>
      <c r="N504">
        <v>394561</v>
      </c>
      <c r="O504">
        <v>763</v>
      </c>
      <c r="P504">
        <v>270594</v>
      </c>
      <c r="Q504">
        <v>8.61</v>
      </c>
      <c r="R504">
        <v>46628190</v>
      </c>
      <c r="S504">
        <v>5646319</v>
      </c>
      <c r="T504">
        <v>12916875</v>
      </c>
      <c r="U504">
        <v>88.81</v>
      </c>
      <c r="V504">
        <v>6.25</v>
      </c>
      <c r="W504">
        <v>2175</v>
      </c>
      <c r="X504">
        <v>1.28</v>
      </c>
      <c r="Y504">
        <v>76.83</v>
      </c>
    </row>
    <row r="505" spans="1:25" x14ac:dyDescent="0.3">
      <c r="A505" t="s">
        <v>26</v>
      </c>
      <c r="B505" t="s">
        <v>33</v>
      </c>
      <c r="C505" t="s">
        <v>39</v>
      </c>
      <c r="D505" s="1">
        <v>44700</v>
      </c>
      <c r="E505">
        <v>26474082</v>
      </c>
      <c r="F505">
        <v>3750</v>
      </c>
      <c r="G505">
        <v>35.6</v>
      </c>
      <c r="H505">
        <v>31225</v>
      </c>
      <c r="I505">
        <v>928604</v>
      </c>
      <c r="J505">
        <v>43052</v>
      </c>
      <c r="K505">
        <v>35907</v>
      </c>
      <c r="L505">
        <v>496</v>
      </c>
      <c r="M505">
        <v>467502</v>
      </c>
      <c r="N505">
        <v>434327</v>
      </c>
      <c r="O505">
        <v>7541</v>
      </c>
      <c r="P505">
        <v>1183573</v>
      </c>
      <c r="Q505">
        <v>3.14</v>
      </c>
      <c r="R505">
        <v>10864648</v>
      </c>
      <c r="S505">
        <v>12182826</v>
      </c>
      <c r="T505">
        <v>17215508</v>
      </c>
      <c r="U505">
        <v>47.35</v>
      </c>
      <c r="V505">
        <v>4.2300000000000004</v>
      </c>
      <c r="W505">
        <v>3507</v>
      </c>
      <c r="X505">
        <v>3.82</v>
      </c>
      <c r="Y505">
        <v>40.1</v>
      </c>
    </row>
    <row r="506" spans="1:25" x14ac:dyDescent="0.3">
      <c r="A506" t="s">
        <v>27</v>
      </c>
      <c r="B506" t="s">
        <v>32</v>
      </c>
      <c r="C506" t="s">
        <v>38</v>
      </c>
      <c r="D506" s="1">
        <v>44701</v>
      </c>
      <c r="E506">
        <v>46967514</v>
      </c>
      <c r="F506">
        <v>10705</v>
      </c>
      <c r="G506">
        <v>30.2</v>
      </c>
      <c r="H506">
        <v>50156</v>
      </c>
      <c r="I506">
        <v>454572</v>
      </c>
      <c r="J506">
        <v>19563</v>
      </c>
      <c r="K506">
        <v>32882</v>
      </c>
      <c r="L506">
        <v>827</v>
      </c>
      <c r="M506">
        <v>300782</v>
      </c>
      <c r="N506">
        <v>272599</v>
      </c>
      <c r="O506">
        <v>815</v>
      </c>
      <c r="P506">
        <v>474267</v>
      </c>
      <c r="Q506">
        <v>22.91</v>
      </c>
      <c r="R506">
        <v>23849043</v>
      </c>
      <c r="S506">
        <v>13050513</v>
      </c>
      <c r="T506">
        <v>18025725</v>
      </c>
      <c r="U506">
        <v>74.66</v>
      </c>
      <c r="V506">
        <v>1.62</v>
      </c>
      <c r="W506">
        <v>4339</v>
      </c>
      <c r="X506">
        <v>2.87</v>
      </c>
      <c r="Y506">
        <v>81.61</v>
      </c>
    </row>
    <row r="507" spans="1:25" x14ac:dyDescent="0.3">
      <c r="A507" t="s">
        <v>31</v>
      </c>
      <c r="B507" t="s">
        <v>34</v>
      </c>
      <c r="C507" t="s">
        <v>39</v>
      </c>
      <c r="D507" s="1">
        <v>44702</v>
      </c>
      <c r="E507">
        <v>45307180</v>
      </c>
      <c r="F507">
        <v>15179</v>
      </c>
      <c r="G507">
        <v>37.4</v>
      </c>
      <c r="H507">
        <v>28829</v>
      </c>
      <c r="I507">
        <v>402072</v>
      </c>
      <c r="J507">
        <v>47322</v>
      </c>
      <c r="K507">
        <v>40211</v>
      </c>
      <c r="L507">
        <v>485</v>
      </c>
      <c r="M507">
        <v>201966</v>
      </c>
      <c r="N507">
        <v>98941</v>
      </c>
      <c r="O507">
        <v>6255</v>
      </c>
      <c r="P507">
        <v>51272</v>
      </c>
      <c r="Q507">
        <v>15.32</v>
      </c>
      <c r="R507">
        <v>4203028</v>
      </c>
      <c r="S507">
        <v>31319676</v>
      </c>
      <c r="T507">
        <v>7043135</v>
      </c>
      <c r="U507">
        <v>80.47</v>
      </c>
      <c r="V507">
        <v>7.92</v>
      </c>
      <c r="W507">
        <v>3224</v>
      </c>
      <c r="X507">
        <v>4.29</v>
      </c>
      <c r="Y507">
        <v>70.84</v>
      </c>
    </row>
    <row r="508" spans="1:25" x14ac:dyDescent="0.3">
      <c r="A508" t="s">
        <v>27</v>
      </c>
      <c r="B508" t="s">
        <v>32</v>
      </c>
      <c r="C508" t="s">
        <v>37</v>
      </c>
      <c r="D508" s="1">
        <v>44703</v>
      </c>
      <c r="E508">
        <v>12453070</v>
      </c>
      <c r="F508">
        <v>9409</v>
      </c>
      <c r="G508">
        <v>30.4</v>
      </c>
      <c r="H508">
        <v>26938</v>
      </c>
      <c r="I508">
        <v>432385</v>
      </c>
      <c r="J508">
        <v>37306</v>
      </c>
      <c r="K508">
        <v>7699</v>
      </c>
      <c r="L508">
        <v>1831</v>
      </c>
      <c r="M508">
        <v>472743</v>
      </c>
      <c r="N508">
        <v>442008</v>
      </c>
      <c r="O508">
        <v>877</v>
      </c>
      <c r="P508">
        <v>1054886</v>
      </c>
      <c r="Q508">
        <v>16.7</v>
      </c>
      <c r="R508">
        <v>43389916</v>
      </c>
      <c r="S508">
        <v>39281720</v>
      </c>
      <c r="T508">
        <v>11977945</v>
      </c>
      <c r="U508">
        <v>73.650000000000006</v>
      </c>
      <c r="V508">
        <v>3.96</v>
      </c>
      <c r="W508">
        <v>3738</v>
      </c>
      <c r="X508">
        <v>4.4800000000000004</v>
      </c>
      <c r="Y508">
        <v>82.87</v>
      </c>
    </row>
    <row r="509" spans="1:25" x14ac:dyDescent="0.3">
      <c r="A509" t="s">
        <v>26</v>
      </c>
      <c r="B509" t="s">
        <v>32</v>
      </c>
      <c r="C509" t="s">
        <v>38</v>
      </c>
      <c r="D509" s="1">
        <v>44704</v>
      </c>
      <c r="E509">
        <v>7339789</v>
      </c>
      <c r="F509">
        <v>3943</v>
      </c>
      <c r="G509">
        <v>25.7</v>
      </c>
      <c r="H509">
        <v>60164</v>
      </c>
      <c r="I509">
        <v>947308</v>
      </c>
      <c r="J509">
        <v>18608</v>
      </c>
      <c r="K509">
        <v>3577</v>
      </c>
      <c r="L509">
        <v>1472</v>
      </c>
      <c r="M509">
        <v>484546</v>
      </c>
      <c r="N509">
        <v>180176</v>
      </c>
      <c r="O509">
        <v>7173</v>
      </c>
      <c r="P509">
        <v>1081393</v>
      </c>
      <c r="Q509">
        <v>12.34</v>
      </c>
      <c r="R509">
        <v>1738746</v>
      </c>
      <c r="S509">
        <v>30761274</v>
      </c>
      <c r="T509">
        <v>15469639</v>
      </c>
      <c r="U509">
        <v>92.53</v>
      </c>
      <c r="V509">
        <v>7.49</v>
      </c>
      <c r="W509">
        <v>1449</v>
      </c>
      <c r="X509">
        <v>3.28</v>
      </c>
      <c r="Y509">
        <v>28.57</v>
      </c>
    </row>
    <row r="510" spans="1:25" x14ac:dyDescent="0.3">
      <c r="A510" t="s">
        <v>26</v>
      </c>
      <c r="B510" t="s">
        <v>35</v>
      </c>
      <c r="C510" t="s">
        <v>37</v>
      </c>
      <c r="D510" s="1">
        <v>44705</v>
      </c>
      <c r="E510">
        <v>9070556</v>
      </c>
      <c r="F510">
        <v>6861</v>
      </c>
      <c r="G510">
        <v>21</v>
      </c>
      <c r="H510">
        <v>55530</v>
      </c>
      <c r="I510">
        <v>692150</v>
      </c>
      <c r="J510">
        <v>39139</v>
      </c>
      <c r="K510">
        <v>20742</v>
      </c>
      <c r="L510">
        <v>1436</v>
      </c>
      <c r="M510">
        <v>187723</v>
      </c>
      <c r="N510">
        <v>246400</v>
      </c>
      <c r="O510">
        <v>7073</v>
      </c>
      <c r="P510">
        <v>1557926</v>
      </c>
      <c r="Q510">
        <v>13.81</v>
      </c>
      <c r="R510">
        <v>46128920</v>
      </c>
      <c r="S510">
        <v>34617637</v>
      </c>
      <c r="T510">
        <v>17533917</v>
      </c>
      <c r="U510">
        <v>44.68</v>
      </c>
      <c r="V510">
        <v>5.37</v>
      </c>
      <c r="W510">
        <v>2384</v>
      </c>
      <c r="X510">
        <v>3.65</v>
      </c>
      <c r="Y510">
        <v>18.510000000000002</v>
      </c>
    </row>
    <row r="511" spans="1:25" x14ac:dyDescent="0.3">
      <c r="A511" t="s">
        <v>26</v>
      </c>
      <c r="B511" t="s">
        <v>34</v>
      </c>
      <c r="C511" t="s">
        <v>38</v>
      </c>
      <c r="D511" s="1">
        <v>44706</v>
      </c>
      <c r="E511">
        <v>19860030</v>
      </c>
      <c r="F511">
        <v>9338</v>
      </c>
      <c r="G511">
        <v>28.1</v>
      </c>
      <c r="H511">
        <v>69199</v>
      </c>
      <c r="I511">
        <v>294132</v>
      </c>
      <c r="J511">
        <v>1726</v>
      </c>
      <c r="K511">
        <v>20784</v>
      </c>
      <c r="L511">
        <v>329</v>
      </c>
      <c r="M511">
        <v>897672</v>
      </c>
      <c r="N511">
        <v>160886</v>
      </c>
      <c r="O511">
        <v>4798</v>
      </c>
      <c r="P511">
        <v>487160</v>
      </c>
      <c r="Q511">
        <v>3.48</v>
      </c>
      <c r="R511">
        <v>38748517</v>
      </c>
      <c r="S511">
        <v>17612704</v>
      </c>
      <c r="T511">
        <v>16048289</v>
      </c>
      <c r="U511">
        <v>17.309999999999999</v>
      </c>
      <c r="V511">
        <v>7.52</v>
      </c>
      <c r="W511">
        <v>1555</v>
      </c>
      <c r="X511">
        <v>2.79</v>
      </c>
      <c r="Y511">
        <v>97.19</v>
      </c>
    </row>
    <row r="512" spans="1:25" x14ac:dyDescent="0.3">
      <c r="A512" t="s">
        <v>27</v>
      </c>
      <c r="B512" t="s">
        <v>34</v>
      </c>
      <c r="C512" t="s">
        <v>38</v>
      </c>
      <c r="D512" s="1">
        <v>44707</v>
      </c>
      <c r="E512">
        <v>15494127</v>
      </c>
      <c r="F512">
        <v>19113</v>
      </c>
      <c r="G512">
        <v>21.1</v>
      </c>
      <c r="H512">
        <v>61282</v>
      </c>
      <c r="I512">
        <v>504195</v>
      </c>
      <c r="J512">
        <v>26582</v>
      </c>
      <c r="K512">
        <v>23205</v>
      </c>
      <c r="L512">
        <v>1755</v>
      </c>
      <c r="M512">
        <v>635962</v>
      </c>
      <c r="N512">
        <v>17298</v>
      </c>
      <c r="O512">
        <v>6989</v>
      </c>
      <c r="P512">
        <v>1487320</v>
      </c>
      <c r="Q512">
        <v>20.190000000000001</v>
      </c>
      <c r="R512">
        <v>26077355</v>
      </c>
      <c r="S512">
        <v>20720649</v>
      </c>
      <c r="T512">
        <v>24522881</v>
      </c>
      <c r="U512">
        <v>4.78</v>
      </c>
      <c r="V512">
        <v>9.1199999999999992</v>
      </c>
      <c r="W512">
        <v>299</v>
      </c>
      <c r="X512">
        <v>1.98</v>
      </c>
      <c r="Y512">
        <v>71.73</v>
      </c>
    </row>
    <row r="513" spans="1:25" x14ac:dyDescent="0.3">
      <c r="A513" t="s">
        <v>25</v>
      </c>
      <c r="B513" t="s">
        <v>34</v>
      </c>
      <c r="C513" t="s">
        <v>37</v>
      </c>
      <c r="D513" s="1">
        <v>44708</v>
      </c>
      <c r="E513">
        <v>35261183</v>
      </c>
      <c r="F513">
        <v>554</v>
      </c>
      <c r="G513">
        <v>23.7</v>
      </c>
      <c r="H513">
        <v>48801</v>
      </c>
      <c r="I513">
        <v>339592</v>
      </c>
      <c r="J513">
        <v>5791</v>
      </c>
      <c r="K513">
        <v>37422</v>
      </c>
      <c r="L513">
        <v>888</v>
      </c>
      <c r="M513">
        <v>311916</v>
      </c>
      <c r="N513">
        <v>329195</v>
      </c>
      <c r="O513">
        <v>5039</v>
      </c>
      <c r="P513">
        <v>974283</v>
      </c>
      <c r="Q513">
        <v>12.97</v>
      </c>
      <c r="R513">
        <v>45167640</v>
      </c>
      <c r="S513">
        <v>24237732</v>
      </c>
      <c r="T513">
        <v>23231044</v>
      </c>
      <c r="U513">
        <v>24.65</v>
      </c>
      <c r="V513">
        <v>9.25</v>
      </c>
      <c r="W513">
        <v>585</v>
      </c>
      <c r="X513">
        <v>3.28</v>
      </c>
      <c r="Y513">
        <v>83.4</v>
      </c>
    </row>
    <row r="514" spans="1:25" x14ac:dyDescent="0.3">
      <c r="A514" t="s">
        <v>26</v>
      </c>
      <c r="B514" t="s">
        <v>34</v>
      </c>
      <c r="C514" t="s">
        <v>41</v>
      </c>
      <c r="D514" s="1">
        <v>44709</v>
      </c>
      <c r="E514">
        <v>32207157</v>
      </c>
      <c r="F514">
        <v>9863</v>
      </c>
      <c r="G514">
        <v>49.6</v>
      </c>
      <c r="H514">
        <v>10465</v>
      </c>
      <c r="I514">
        <v>957010</v>
      </c>
      <c r="J514">
        <v>8458</v>
      </c>
      <c r="K514">
        <v>47744</v>
      </c>
      <c r="L514">
        <v>990</v>
      </c>
      <c r="M514">
        <v>138480</v>
      </c>
      <c r="N514">
        <v>394968</v>
      </c>
      <c r="O514">
        <v>9771</v>
      </c>
      <c r="P514">
        <v>741176</v>
      </c>
      <c r="Q514">
        <v>24.5</v>
      </c>
      <c r="R514">
        <v>18764168</v>
      </c>
      <c r="S514">
        <v>8527574</v>
      </c>
      <c r="T514">
        <v>23029662</v>
      </c>
      <c r="U514">
        <v>14.32</v>
      </c>
      <c r="V514">
        <v>5.58</v>
      </c>
      <c r="W514">
        <v>3582</v>
      </c>
      <c r="X514">
        <v>4.55</v>
      </c>
      <c r="Y514">
        <v>1.31</v>
      </c>
    </row>
    <row r="515" spans="1:25" x14ac:dyDescent="0.3">
      <c r="A515" t="s">
        <v>30</v>
      </c>
      <c r="B515" t="s">
        <v>34</v>
      </c>
      <c r="C515" t="s">
        <v>40</v>
      </c>
      <c r="D515" s="1">
        <v>44710</v>
      </c>
      <c r="E515">
        <v>1453692</v>
      </c>
      <c r="F515">
        <v>14721</v>
      </c>
      <c r="G515">
        <v>32.200000000000003</v>
      </c>
      <c r="H515">
        <v>4326</v>
      </c>
      <c r="I515">
        <v>376574</v>
      </c>
      <c r="J515">
        <v>17221</v>
      </c>
      <c r="K515">
        <v>44108</v>
      </c>
      <c r="L515">
        <v>1170</v>
      </c>
      <c r="M515">
        <v>404560</v>
      </c>
      <c r="N515">
        <v>436941</v>
      </c>
      <c r="O515">
        <v>6324</v>
      </c>
      <c r="P515">
        <v>83641</v>
      </c>
      <c r="Q515">
        <v>5.89</v>
      </c>
      <c r="R515">
        <v>3093606</v>
      </c>
      <c r="S515">
        <v>7386105</v>
      </c>
      <c r="T515">
        <v>12306165</v>
      </c>
      <c r="U515">
        <v>55.79</v>
      </c>
      <c r="V515">
        <v>5.36</v>
      </c>
      <c r="W515">
        <v>3599</v>
      </c>
      <c r="X515">
        <v>2.14</v>
      </c>
      <c r="Y515">
        <v>35.450000000000003</v>
      </c>
    </row>
    <row r="516" spans="1:25" x14ac:dyDescent="0.3">
      <c r="A516" t="s">
        <v>27</v>
      </c>
      <c r="B516" t="s">
        <v>35</v>
      </c>
      <c r="C516" t="s">
        <v>39</v>
      </c>
      <c r="D516" s="1">
        <v>44711</v>
      </c>
      <c r="E516">
        <v>17494986</v>
      </c>
      <c r="F516">
        <v>10788</v>
      </c>
      <c r="G516">
        <v>35</v>
      </c>
      <c r="H516">
        <v>4659</v>
      </c>
      <c r="I516">
        <v>744264</v>
      </c>
      <c r="J516">
        <v>48506</v>
      </c>
      <c r="K516">
        <v>22267</v>
      </c>
      <c r="L516">
        <v>258</v>
      </c>
      <c r="M516">
        <v>838387</v>
      </c>
      <c r="N516">
        <v>258566</v>
      </c>
      <c r="O516">
        <v>9395</v>
      </c>
      <c r="P516">
        <v>1789019</v>
      </c>
      <c r="Q516">
        <v>6.15</v>
      </c>
      <c r="R516">
        <v>40440509</v>
      </c>
      <c r="S516">
        <v>22726922</v>
      </c>
      <c r="T516">
        <v>25924163</v>
      </c>
      <c r="U516">
        <v>18.489999999999998</v>
      </c>
      <c r="V516">
        <v>3.02</v>
      </c>
      <c r="W516">
        <v>507</v>
      </c>
      <c r="X516">
        <v>1.64</v>
      </c>
      <c r="Y516">
        <v>74.28</v>
      </c>
    </row>
    <row r="517" spans="1:25" x14ac:dyDescent="0.3">
      <c r="A517" t="s">
        <v>26</v>
      </c>
      <c r="B517" t="s">
        <v>33</v>
      </c>
      <c r="C517" t="s">
        <v>38</v>
      </c>
      <c r="D517" s="1">
        <v>44712</v>
      </c>
      <c r="E517">
        <v>22114133</v>
      </c>
      <c r="F517">
        <v>11236</v>
      </c>
      <c r="G517">
        <v>46</v>
      </c>
      <c r="H517">
        <v>61289</v>
      </c>
      <c r="I517">
        <v>461522</v>
      </c>
      <c r="J517">
        <v>20968</v>
      </c>
      <c r="K517">
        <v>4404</v>
      </c>
      <c r="L517">
        <v>291</v>
      </c>
      <c r="M517">
        <v>593235</v>
      </c>
      <c r="N517">
        <v>479298</v>
      </c>
      <c r="O517">
        <v>2823</v>
      </c>
      <c r="P517">
        <v>1781246</v>
      </c>
      <c r="Q517">
        <v>19.37</v>
      </c>
      <c r="R517">
        <v>5769764</v>
      </c>
      <c r="S517">
        <v>6858839</v>
      </c>
      <c r="T517">
        <v>1361349</v>
      </c>
      <c r="U517">
        <v>3.89</v>
      </c>
      <c r="V517">
        <v>9.39</v>
      </c>
      <c r="W517">
        <v>2788</v>
      </c>
      <c r="X517">
        <v>2</v>
      </c>
      <c r="Y517">
        <v>7.8</v>
      </c>
    </row>
    <row r="518" spans="1:25" x14ac:dyDescent="0.3">
      <c r="A518" t="s">
        <v>30</v>
      </c>
      <c r="B518" t="s">
        <v>32</v>
      </c>
      <c r="C518" t="s">
        <v>39</v>
      </c>
      <c r="D518" s="1">
        <v>44713</v>
      </c>
      <c r="E518">
        <v>41023561</v>
      </c>
      <c r="F518">
        <v>6823</v>
      </c>
      <c r="G518">
        <v>49.9</v>
      </c>
      <c r="H518">
        <v>28594</v>
      </c>
      <c r="I518">
        <v>930809</v>
      </c>
      <c r="J518">
        <v>17070</v>
      </c>
      <c r="K518">
        <v>36312</v>
      </c>
      <c r="L518">
        <v>1834</v>
      </c>
      <c r="M518">
        <v>730387</v>
      </c>
      <c r="N518">
        <v>18840</v>
      </c>
      <c r="O518">
        <v>5287</v>
      </c>
      <c r="P518">
        <v>1589321</v>
      </c>
      <c r="Q518">
        <v>25.38</v>
      </c>
      <c r="R518">
        <v>35406607</v>
      </c>
      <c r="S518">
        <v>5405126</v>
      </c>
      <c r="T518">
        <v>7760854</v>
      </c>
      <c r="U518">
        <v>3.6</v>
      </c>
      <c r="V518">
        <v>4.8499999999999996</v>
      </c>
      <c r="W518">
        <v>3419</v>
      </c>
      <c r="X518">
        <v>2.23</v>
      </c>
      <c r="Y518">
        <v>56.73</v>
      </c>
    </row>
    <row r="519" spans="1:25" x14ac:dyDescent="0.3">
      <c r="A519" t="s">
        <v>25</v>
      </c>
      <c r="B519" t="s">
        <v>34</v>
      </c>
      <c r="C519" t="s">
        <v>37</v>
      </c>
      <c r="D519" s="1">
        <v>44714</v>
      </c>
      <c r="E519">
        <v>32901727</v>
      </c>
      <c r="F519">
        <v>3866</v>
      </c>
      <c r="G519">
        <v>36.6</v>
      </c>
      <c r="H519">
        <v>5763</v>
      </c>
      <c r="I519">
        <v>666329</v>
      </c>
      <c r="J519">
        <v>27937</v>
      </c>
      <c r="K519">
        <v>22238</v>
      </c>
      <c r="L519">
        <v>142</v>
      </c>
      <c r="M519">
        <v>339752</v>
      </c>
      <c r="N519">
        <v>266054</v>
      </c>
      <c r="O519">
        <v>3285</v>
      </c>
      <c r="P519">
        <v>43311</v>
      </c>
      <c r="Q519">
        <v>14.17</v>
      </c>
      <c r="R519">
        <v>18962212</v>
      </c>
      <c r="S519">
        <v>9356913</v>
      </c>
      <c r="T519">
        <v>18389996</v>
      </c>
      <c r="U519">
        <v>83.16</v>
      </c>
      <c r="V519">
        <v>1.71</v>
      </c>
      <c r="W519">
        <v>4185</v>
      </c>
      <c r="X519">
        <v>0.46</v>
      </c>
      <c r="Y519">
        <v>42.91</v>
      </c>
    </row>
    <row r="520" spans="1:25" x14ac:dyDescent="0.3">
      <c r="A520" t="s">
        <v>28</v>
      </c>
      <c r="B520" t="s">
        <v>33</v>
      </c>
      <c r="C520" t="s">
        <v>39</v>
      </c>
      <c r="D520" s="1">
        <v>44715</v>
      </c>
      <c r="E520">
        <v>11325853</v>
      </c>
      <c r="F520">
        <v>767</v>
      </c>
      <c r="G520">
        <v>44</v>
      </c>
      <c r="H520">
        <v>11828</v>
      </c>
      <c r="I520">
        <v>275548</v>
      </c>
      <c r="J520">
        <v>49508</v>
      </c>
      <c r="K520">
        <v>12398</v>
      </c>
      <c r="L520">
        <v>1960</v>
      </c>
      <c r="M520">
        <v>436782</v>
      </c>
      <c r="N520">
        <v>385987</v>
      </c>
      <c r="O520">
        <v>7433</v>
      </c>
      <c r="P520">
        <v>1971060</v>
      </c>
      <c r="Q520">
        <v>21.81</v>
      </c>
      <c r="R520">
        <v>28035403</v>
      </c>
      <c r="S520">
        <v>2219540</v>
      </c>
      <c r="T520">
        <v>16838546</v>
      </c>
      <c r="U520">
        <v>59.14</v>
      </c>
      <c r="V520">
        <v>4.6100000000000003</v>
      </c>
      <c r="W520">
        <v>3746</v>
      </c>
      <c r="X520">
        <v>2.54</v>
      </c>
      <c r="Y520">
        <v>1.76</v>
      </c>
    </row>
    <row r="521" spans="1:25" x14ac:dyDescent="0.3">
      <c r="A521" t="s">
        <v>25</v>
      </c>
      <c r="B521" t="s">
        <v>33</v>
      </c>
      <c r="C521" t="s">
        <v>37</v>
      </c>
      <c r="D521" s="1">
        <v>44716</v>
      </c>
      <c r="E521">
        <v>17015348</v>
      </c>
      <c r="F521">
        <v>11726</v>
      </c>
      <c r="G521">
        <v>28.5</v>
      </c>
      <c r="H521">
        <v>48588</v>
      </c>
      <c r="I521">
        <v>403205</v>
      </c>
      <c r="J521">
        <v>41831</v>
      </c>
      <c r="K521">
        <v>11329</v>
      </c>
      <c r="L521">
        <v>746</v>
      </c>
      <c r="M521">
        <v>226801</v>
      </c>
      <c r="N521">
        <v>409885</v>
      </c>
      <c r="O521">
        <v>6174</v>
      </c>
      <c r="P521">
        <v>1201534</v>
      </c>
      <c r="Q521">
        <v>29.98</v>
      </c>
      <c r="R521">
        <v>23158423</v>
      </c>
      <c r="S521">
        <v>10689268</v>
      </c>
      <c r="T521">
        <v>11279743</v>
      </c>
      <c r="U521">
        <v>35.81</v>
      </c>
      <c r="V521">
        <v>1.71</v>
      </c>
      <c r="W521">
        <v>3461</v>
      </c>
      <c r="X521">
        <v>2.52</v>
      </c>
      <c r="Y521">
        <v>23.6</v>
      </c>
    </row>
    <row r="522" spans="1:25" x14ac:dyDescent="0.3">
      <c r="A522" t="s">
        <v>26</v>
      </c>
      <c r="B522" t="s">
        <v>32</v>
      </c>
      <c r="C522" t="s">
        <v>39</v>
      </c>
      <c r="D522" s="1">
        <v>44717</v>
      </c>
      <c r="E522">
        <v>31843819</v>
      </c>
      <c r="F522">
        <v>4484</v>
      </c>
      <c r="G522">
        <v>27.8</v>
      </c>
      <c r="H522">
        <v>12221</v>
      </c>
      <c r="I522">
        <v>459521</v>
      </c>
      <c r="J522">
        <v>42933</v>
      </c>
      <c r="K522">
        <v>6485</v>
      </c>
      <c r="L522">
        <v>626</v>
      </c>
      <c r="M522">
        <v>825265</v>
      </c>
      <c r="N522">
        <v>258408</v>
      </c>
      <c r="O522">
        <v>4826</v>
      </c>
      <c r="P522">
        <v>1519904</v>
      </c>
      <c r="Q522">
        <v>29.71</v>
      </c>
      <c r="R522">
        <v>26344217</v>
      </c>
      <c r="S522">
        <v>9013678</v>
      </c>
      <c r="T522">
        <v>6275178</v>
      </c>
      <c r="U522">
        <v>89.42</v>
      </c>
      <c r="V522">
        <v>5.27</v>
      </c>
      <c r="W522">
        <v>4119</v>
      </c>
      <c r="X522">
        <v>2.98</v>
      </c>
      <c r="Y522">
        <v>28.48</v>
      </c>
    </row>
    <row r="523" spans="1:25" x14ac:dyDescent="0.3">
      <c r="A523" t="s">
        <v>27</v>
      </c>
      <c r="B523" t="s">
        <v>35</v>
      </c>
      <c r="C523" t="s">
        <v>40</v>
      </c>
      <c r="D523" s="1">
        <v>44718</v>
      </c>
      <c r="E523">
        <v>32979425</v>
      </c>
      <c r="F523">
        <v>17092</v>
      </c>
      <c r="G523">
        <v>30.9</v>
      </c>
      <c r="H523">
        <v>12211</v>
      </c>
      <c r="I523">
        <v>430199</v>
      </c>
      <c r="J523">
        <v>47307</v>
      </c>
      <c r="K523">
        <v>31565</v>
      </c>
      <c r="L523">
        <v>1388</v>
      </c>
      <c r="M523">
        <v>345673</v>
      </c>
      <c r="N523">
        <v>99955</v>
      </c>
      <c r="O523">
        <v>3664</v>
      </c>
      <c r="P523">
        <v>1493669</v>
      </c>
      <c r="Q523">
        <v>22.33</v>
      </c>
      <c r="R523">
        <v>43462163</v>
      </c>
      <c r="S523">
        <v>24899555</v>
      </c>
      <c r="T523">
        <v>17140332</v>
      </c>
      <c r="U523">
        <v>7.02</v>
      </c>
      <c r="V523">
        <v>5.83</v>
      </c>
      <c r="W523">
        <v>3437</v>
      </c>
      <c r="X523">
        <v>1.88</v>
      </c>
      <c r="Y523">
        <v>11.19</v>
      </c>
    </row>
    <row r="524" spans="1:25" x14ac:dyDescent="0.3">
      <c r="A524" t="s">
        <v>29</v>
      </c>
      <c r="B524" t="s">
        <v>36</v>
      </c>
      <c r="C524" t="s">
        <v>40</v>
      </c>
      <c r="D524" s="1">
        <v>44719</v>
      </c>
      <c r="E524">
        <v>23187400</v>
      </c>
      <c r="F524">
        <v>5107</v>
      </c>
      <c r="G524">
        <v>39.5</v>
      </c>
      <c r="H524">
        <v>14569</v>
      </c>
      <c r="I524">
        <v>766644</v>
      </c>
      <c r="J524">
        <v>48340</v>
      </c>
      <c r="K524">
        <v>18168</v>
      </c>
      <c r="L524">
        <v>89</v>
      </c>
      <c r="M524">
        <v>302341</v>
      </c>
      <c r="N524">
        <v>210292</v>
      </c>
      <c r="O524">
        <v>497</v>
      </c>
      <c r="P524">
        <v>1697437</v>
      </c>
      <c r="Q524">
        <v>22.19</v>
      </c>
      <c r="R524">
        <v>47790728</v>
      </c>
      <c r="S524">
        <v>7579375</v>
      </c>
      <c r="T524">
        <v>1430343</v>
      </c>
      <c r="U524">
        <v>98.03</v>
      </c>
      <c r="V524">
        <v>3.71</v>
      </c>
      <c r="W524">
        <v>3235</v>
      </c>
      <c r="X524">
        <v>3.1</v>
      </c>
      <c r="Y524">
        <v>63.15</v>
      </c>
    </row>
    <row r="525" spans="1:25" x14ac:dyDescent="0.3">
      <c r="A525" t="s">
        <v>26</v>
      </c>
      <c r="B525" t="s">
        <v>36</v>
      </c>
      <c r="C525" t="s">
        <v>40</v>
      </c>
      <c r="D525" s="1">
        <v>44720</v>
      </c>
      <c r="E525">
        <v>33055703</v>
      </c>
      <c r="F525">
        <v>5044</v>
      </c>
      <c r="G525">
        <v>39.799999999999997</v>
      </c>
      <c r="H525">
        <v>38860</v>
      </c>
      <c r="I525">
        <v>171534</v>
      </c>
      <c r="J525">
        <v>37415</v>
      </c>
      <c r="K525">
        <v>14738</v>
      </c>
      <c r="L525">
        <v>719</v>
      </c>
      <c r="M525">
        <v>804566</v>
      </c>
      <c r="N525">
        <v>289027</v>
      </c>
      <c r="O525">
        <v>7641</v>
      </c>
      <c r="P525">
        <v>360571</v>
      </c>
      <c r="Q525">
        <v>7.43</v>
      </c>
      <c r="R525">
        <v>28913510</v>
      </c>
      <c r="S525">
        <v>37136302</v>
      </c>
      <c r="T525">
        <v>16237708</v>
      </c>
      <c r="U525">
        <v>61.63</v>
      </c>
      <c r="V525">
        <v>1.18</v>
      </c>
      <c r="W525">
        <v>3288</v>
      </c>
      <c r="X525">
        <v>4.4000000000000004</v>
      </c>
      <c r="Y525">
        <v>24.24</v>
      </c>
    </row>
    <row r="526" spans="1:25" x14ac:dyDescent="0.3">
      <c r="A526" t="s">
        <v>29</v>
      </c>
      <c r="B526" t="s">
        <v>33</v>
      </c>
      <c r="C526" t="s">
        <v>40</v>
      </c>
      <c r="D526" s="1">
        <v>44721</v>
      </c>
      <c r="E526">
        <v>19067224</v>
      </c>
      <c r="F526">
        <v>4284</v>
      </c>
      <c r="G526">
        <v>28.1</v>
      </c>
      <c r="H526">
        <v>46337</v>
      </c>
      <c r="I526">
        <v>282504</v>
      </c>
      <c r="J526">
        <v>42770</v>
      </c>
      <c r="K526">
        <v>44784</v>
      </c>
      <c r="L526">
        <v>1187</v>
      </c>
      <c r="M526">
        <v>811493</v>
      </c>
      <c r="N526">
        <v>121801</v>
      </c>
      <c r="O526">
        <v>4643</v>
      </c>
      <c r="P526">
        <v>1872189</v>
      </c>
      <c r="Q526">
        <v>25.01</v>
      </c>
      <c r="R526">
        <v>47852062</v>
      </c>
      <c r="S526">
        <v>2529195</v>
      </c>
      <c r="T526">
        <v>2472512</v>
      </c>
      <c r="U526">
        <v>18.350000000000001</v>
      </c>
      <c r="V526">
        <v>9.4600000000000009</v>
      </c>
      <c r="W526">
        <v>310</v>
      </c>
      <c r="X526">
        <v>4.78</v>
      </c>
      <c r="Y526">
        <v>27.76</v>
      </c>
    </row>
    <row r="527" spans="1:25" x14ac:dyDescent="0.3">
      <c r="A527" t="s">
        <v>30</v>
      </c>
      <c r="B527" t="s">
        <v>32</v>
      </c>
      <c r="C527" t="s">
        <v>40</v>
      </c>
      <c r="D527" s="1">
        <v>44722</v>
      </c>
      <c r="E527">
        <v>38567502</v>
      </c>
      <c r="F527">
        <v>3814</v>
      </c>
      <c r="G527">
        <v>22.3</v>
      </c>
      <c r="H527">
        <v>53311</v>
      </c>
      <c r="I527">
        <v>873089</v>
      </c>
      <c r="J527">
        <v>20802</v>
      </c>
      <c r="K527">
        <v>29555</v>
      </c>
      <c r="L527">
        <v>480</v>
      </c>
      <c r="M527">
        <v>411749</v>
      </c>
      <c r="N527">
        <v>492381</v>
      </c>
      <c r="O527">
        <v>5056</v>
      </c>
      <c r="P527">
        <v>1213910</v>
      </c>
      <c r="Q527">
        <v>12.15</v>
      </c>
      <c r="R527">
        <v>34776082</v>
      </c>
      <c r="S527">
        <v>15312615</v>
      </c>
      <c r="T527">
        <v>20956293</v>
      </c>
      <c r="U527">
        <v>67.91</v>
      </c>
      <c r="V527">
        <v>7.85</v>
      </c>
      <c r="W527">
        <v>1297</v>
      </c>
      <c r="X527">
        <v>2.96</v>
      </c>
      <c r="Y527">
        <v>89.82</v>
      </c>
    </row>
    <row r="528" spans="1:25" x14ac:dyDescent="0.3">
      <c r="A528" t="s">
        <v>28</v>
      </c>
      <c r="B528" t="s">
        <v>36</v>
      </c>
      <c r="C528" t="s">
        <v>40</v>
      </c>
      <c r="D528" s="1">
        <v>44723</v>
      </c>
      <c r="E528">
        <v>27004354</v>
      </c>
      <c r="F528">
        <v>11231</v>
      </c>
      <c r="G528">
        <v>38.200000000000003</v>
      </c>
      <c r="H528">
        <v>14515</v>
      </c>
      <c r="I528">
        <v>420503</v>
      </c>
      <c r="J528">
        <v>43601</v>
      </c>
      <c r="K528">
        <v>31110</v>
      </c>
      <c r="L528">
        <v>83</v>
      </c>
      <c r="M528">
        <v>55563</v>
      </c>
      <c r="N528">
        <v>340291</v>
      </c>
      <c r="O528">
        <v>131</v>
      </c>
      <c r="P528">
        <v>1968027</v>
      </c>
      <c r="Q528">
        <v>28.86</v>
      </c>
      <c r="R528">
        <v>22762643</v>
      </c>
      <c r="S528">
        <v>30175933</v>
      </c>
      <c r="T528">
        <v>6618991</v>
      </c>
      <c r="U528">
        <v>76.34</v>
      </c>
      <c r="V528">
        <v>8.4700000000000006</v>
      </c>
      <c r="W528">
        <v>3383</v>
      </c>
      <c r="X528">
        <v>0.31</v>
      </c>
      <c r="Y528">
        <v>46.71</v>
      </c>
    </row>
    <row r="529" spans="1:25" x14ac:dyDescent="0.3">
      <c r="A529" t="s">
        <v>31</v>
      </c>
      <c r="B529" t="s">
        <v>33</v>
      </c>
      <c r="C529" t="s">
        <v>37</v>
      </c>
      <c r="D529" s="1">
        <v>44724</v>
      </c>
      <c r="E529">
        <v>21744167</v>
      </c>
      <c r="F529">
        <v>4687</v>
      </c>
      <c r="G529">
        <v>22.1</v>
      </c>
      <c r="H529">
        <v>25904</v>
      </c>
      <c r="I529">
        <v>197544</v>
      </c>
      <c r="J529">
        <v>10420</v>
      </c>
      <c r="K529">
        <v>16160</v>
      </c>
      <c r="L529">
        <v>1100</v>
      </c>
      <c r="M529">
        <v>812853</v>
      </c>
      <c r="N529">
        <v>271715</v>
      </c>
      <c r="O529">
        <v>5443</v>
      </c>
      <c r="P529">
        <v>394238</v>
      </c>
      <c r="Q529">
        <v>2.44</v>
      </c>
      <c r="R529">
        <v>33578454</v>
      </c>
      <c r="S529">
        <v>20289601</v>
      </c>
      <c r="T529">
        <v>24484349</v>
      </c>
      <c r="U529">
        <v>42.93</v>
      </c>
      <c r="V529">
        <v>3.99</v>
      </c>
      <c r="W529">
        <v>3372</v>
      </c>
      <c r="X529">
        <v>4.8499999999999996</v>
      </c>
      <c r="Y529">
        <v>39.21</v>
      </c>
    </row>
    <row r="530" spans="1:25" x14ac:dyDescent="0.3">
      <c r="A530" t="s">
        <v>25</v>
      </c>
      <c r="B530" t="s">
        <v>35</v>
      </c>
      <c r="C530" t="s">
        <v>38</v>
      </c>
      <c r="D530" s="1">
        <v>44725</v>
      </c>
      <c r="E530">
        <v>44624953</v>
      </c>
      <c r="F530">
        <v>2154</v>
      </c>
      <c r="G530">
        <v>36.5</v>
      </c>
      <c r="H530">
        <v>60935</v>
      </c>
      <c r="I530">
        <v>247512</v>
      </c>
      <c r="J530">
        <v>6642</v>
      </c>
      <c r="K530">
        <v>33224</v>
      </c>
      <c r="L530">
        <v>672</v>
      </c>
      <c r="M530">
        <v>544128</v>
      </c>
      <c r="N530">
        <v>110871</v>
      </c>
      <c r="O530">
        <v>857</v>
      </c>
      <c r="P530">
        <v>788560</v>
      </c>
      <c r="Q530">
        <v>13.08</v>
      </c>
      <c r="R530">
        <v>46221802</v>
      </c>
      <c r="S530">
        <v>18815947</v>
      </c>
      <c r="T530">
        <v>5890714</v>
      </c>
      <c r="U530">
        <v>86.16</v>
      </c>
      <c r="V530">
        <v>7.73</v>
      </c>
      <c r="W530">
        <v>2623</v>
      </c>
      <c r="X530">
        <v>3.56</v>
      </c>
      <c r="Y530">
        <v>72.39</v>
      </c>
    </row>
    <row r="531" spans="1:25" x14ac:dyDescent="0.3">
      <c r="A531" t="s">
        <v>28</v>
      </c>
      <c r="B531" t="s">
        <v>36</v>
      </c>
      <c r="C531" t="s">
        <v>39</v>
      </c>
      <c r="D531" s="1">
        <v>44726</v>
      </c>
      <c r="E531">
        <v>1978768</v>
      </c>
      <c r="F531">
        <v>9497</v>
      </c>
      <c r="G531">
        <v>40.200000000000003</v>
      </c>
      <c r="H531">
        <v>44790</v>
      </c>
      <c r="I531">
        <v>765325</v>
      </c>
      <c r="J531">
        <v>19775</v>
      </c>
      <c r="K531">
        <v>32886</v>
      </c>
      <c r="L531">
        <v>516</v>
      </c>
      <c r="M531">
        <v>587569</v>
      </c>
      <c r="N531">
        <v>6263</v>
      </c>
      <c r="O531">
        <v>8712</v>
      </c>
      <c r="P531">
        <v>1653386</v>
      </c>
      <c r="Q531">
        <v>16.68</v>
      </c>
      <c r="R531">
        <v>6175002</v>
      </c>
      <c r="S531">
        <v>21625209</v>
      </c>
      <c r="T531">
        <v>12445774</v>
      </c>
      <c r="U531">
        <v>15.07</v>
      </c>
      <c r="V531">
        <v>5.1100000000000003</v>
      </c>
      <c r="W531">
        <v>175</v>
      </c>
      <c r="X531">
        <v>1.75</v>
      </c>
      <c r="Y531">
        <v>90.96</v>
      </c>
    </row>
    <row r="532" spans="1:25" x14ac:dyDescent="0.3">
      <c r="A532" t="s">
        <v>26</v>
      </c>
      <c r="B532" t="s">
        <v>33</v>
      </c>
      <c r="C532" t="s">
        <v>40</v>
      </c>
      <c r="D532" s="1">
        <v>44727</v>
      </c>
      <c r="E532">
        <v>10453821</v>
      </c>
      <c r="F532">
        <v>10724</v>
      </c>
      <c r="G532">
        <v>40.4</v>
      </c>
      <c r="H532">
        <v>69580</v>
      </c>
      <c r="I532">
        <v>979817</v>
      </c>
      <c r="J532">
        <v>28754</v>
      </c>
      <c r="K532">
        <v>3249</v>
      </c>
      <c r="L532">
        <v>484</v>
      </c>
      <c r="M532">
        <v>801833</v>
      </c>
      <c r="N532">
        <v>456403</v>
      </c>
      <c r="O532">
        <v>8221</v>
      </c>
      <c r="P532">
        <v>1212970</v>
      </c>
      <c r="Q532">
        <v>12.15</v>
      </c>
      <c r="R532">
        <v>20531028</v>
      </c>
      <c r="S532">
        <v>30045974</v>
      </c>
      <c r="T532">
        <v>587699</v>
      </c>
      <c r="U532">
        <v>27.88</v>
      </c>
      <c r="V532">
        <v>2.41</v>
      </c>
      <c r="W532">
        <v>1279</v>
      </c>
      <c r="X532">
        <v>0.82</v>
      </c>
      <c r="Y532">
        <v>2.5</v>
      </c>
    </row>
    <row r="533" spans="1:25" x14ac:dyDescent="0.3">
      <c r="A533" t="s">
        <v>29</v>
      </c>
      <c r="B533" t="s">
        <v>33</v>
      </c>
      <c r="C533" t="s">
        <v>37</v>
      </c>
      <c r="D533" s="1">
        <v>44728</v>
      </c>
      <c r="E533">
        <v>15508832</v>
      </c>
      <c r="F533">
        <v>19041</v>
      </c>
      <c r="G533">
        <v>42.1</v>
      </c>
      <c r="H533">
        <v>6636</v>
      </c>
      <c r="I533">
        <v>35160</v>
      </c>
      <c r="J533">
        <v>43310</v>
      </c>
      <c r="K533">
        <v>38709</v>
      </c>
      <c r="L533">
        <v>1613</v>
      </c>
      <c r="M533">
        <v>11138</v>
      </c>
      <c r="N533">
        <v>324315</v>
      </c>
      <c r="O533">
        <v>6147</v>
      </c>
      <c r="P533">
        <v>49929</v>
      </c>
      <c r="Q533">
        <v>6.32</v>
      </c>
      <c r="R533">
        <v>29763371</v>
      </c>
      <c r="S533">
        <v>29719966</v>
      </c>
      <c r="T533">
        <v>764797</v>
      </c>
      <c r="U533">
        <v>9.35</v>
      </c>
      <c r="V533">
        <v>1.68</v>
      </c>
      <c r="W533">
        <v>3261</v>
      </c>
      <c r="X533">
        <v>0.8</v>
      </c>
      <c r="Y533">
        <v>44.82</v>
      </c>
    </row>
    <row r="534" spans="1:25" x14ac:dyDescent="0.3">
      <c r="A534" t="s">
        <v>25</v>
      </c>
      <c r="B534" t="s">
        <v>34</v>
      </c>
      <c r="C534" t="s">
        <v>37</v>
      </c>
      <c r="D534" s="1">
        <v>44729</v>
      </c>
      <c r="E534">
        <v>26353976</v>
      </c>
      <c r="F534">
        <v>8435</v>
      </c>
      <c r="G534">
        <v>45.9</v>
      </c>
      <c r="H534">
        <v>3892</v>
      </c>
      <c r="I534">
        <v>269933</v>
      </c>
      <c r="J534">
        <v>4357</v>
      </c>
      <c r="K534">
        <v>36831</v>
      </c>
      <c r="L534">
        <v>1626</v>
      </c>
      <c r="M534">
        <v>218486</v>
      </c>
      <c r="N534">
        <v>16165</v>
      </c>
      <c r="O534">
        <v>4604</v>
      </c>
      <c r="P534">
        <v>606984</v>
      </c>
      <c r="Q534">
        <v>17.79</v>
      </c>
      <c r="R534">
        <v>47820912</v>
      </c>
      <c r="S534">
        <v>26145753</v>
      </c>
      <c r="T534">
        <v>11607521</v>
      </c>
      <c r="U534">
        <v>21.09</v>
      </c>
      <c r="V534">
        <v>3.78</v>
      </c>
      <c r="W534">
        <v>3183</v>
      </c>
      <c r="X534">
        <v>0.92</v>
      </c>
      <c r="Y534">
        <v>61.08</v>
      </c>
    </row>
    <row r="535" spans="1:25" x14ac:dyDescent="0.3">
      <c r="A535" t="s">
        <v>29</v>
      </c>
      <c r="B535" t="s">
        <v>35</v>
      </c>
      <c r="C535" t="s">
        <v>37</v>
      </c>
      <c r="D535" s="1">
        <v>44730</v>
      </c>
      <c r="E535">
        <v>34457412</v>
      </c>
      <c r="F535">
        <v>12049</v>
      </c>
      <c r="G535">
        <v>34</v>
      </c>
      <c r="H535">
        <v>22672</v>
      </c>
      <c r="I535">
        <v>159253</v>
      </c>
      <c r="J535">
        <v>21263</v>
      </c>
      <c r="K535">
        <v>30625</v>
      </c>
      <c r="L535">
        <v>1622</v>
      </c>
      <c r="M535">
        <v>306968</v>
      </c>
      <c r="N535">
        <v>384567</v>
      </c>
      <c r="O535">
        <v>9452</v>
      </c>
      <c r="P535">
        <v>378389</v>
      </c>
      <c r="Q535">
        <v>22.68</v>
      </c>
      <c r="R535">
        <v>396742</v>
      </c>
      <c r="S535">
        <v>33767168</v>
      </c>
      <c r="T535">
        <v>29344255</v>
      </c>
      <c r="U535">
        <v>23.87</v>
      </c>
      <c r="V535">
        <v>1.81</v>
      </c>
      <c r="W535">
        <v>1356</v>
      </c>
      <c r="X535">
        <v>0.32</v>
      </c>
      <c r="Y535">
        <v>31.86</v>
      </c>
    </row>
    <row r="536" spans="1:25" x14ac:dyDescent="0.3">
      <c r="A536" t="s">
        <v>27</v>
      </c>
      <c r="B536" t="s">
        <v>34</v>
      </c>
      <c r="C536" t="s">
        <v>38</v>
      </c>
      <c r="D536" s="1">
        <v>44731</v>
      </c>
      <c r="E536">
        <v>26704160</v>
      </c>
      <c r="F536">
        <v>3769</v>
      </c>
      <c r="G536">
        <v>41.4</v>
      </c>
      <c r="H536">
        <v>6812</v>
      </c>
      <c r="I536">
        <v>670745</v>
      </c>
      <c r="J536">
        <v>48367</v>
      </c>
      <c r="K536">
        <v>13756</v>
      </c>
      <c r="L536">
        <v>781</v>
      </c>
      <c r="M536">
        <v>351000</v>
      </c>
      <c r="N536">
        <v>241362</v>
      </c>
      <c r="O536">
        <v>1558</v>
      </c>
      <c r="P536">
        <v>797240</v>
      </c>
      <c r="Q536">
        <v>19.350000000000001</v>
      </c>
      <c r="R536">
        <v>43298121</v>
      </c>
      <c r="S536">
        <v>32063094</v>
      </c>
      <c r="T536">
        <v>13082873</v>
      </c>
      <c r="U536">
        <v>91.76</v>
      </c>
      <c r="V536">
        <v>9.98</v>
      </c>
      <c r="W536">
        <v>2151</v>
      </c>
      <c r="X536">
        <v>4.5199999999999996</v>
      </c>
      <c r="Y536">
        <v>77.239999999999995</v>
      </c>
    </row>
    <row r="537" spans="1:25" x14ac:dyDescent="0.3">
      <c r="A537" t="s">
        <v>29</v>
      </c>
      <c r="B537" t="s">
        <v>32</v>
      </c>
      <c r="C537" t="s">
        <v>39</v>
      </c>
      <c r="D537" s="1">
        <v>44732</v>
      </c>
      <c r="E537">
        <v>28544174</v>
      </c>
      <c r="F537">
        <v>2631</v>
      </c>
      <c r="G537">
        <v>37.799999999999997</v>
      </c>
      <c r="H537">
        <v>1654</v>
      </c>
      <c r="I537">
        <v>870029</v>
      </c>
      <c r="J537">
        <v>13201</v>
      </c>
      <c r="K537">
        <v>20931</v>
      </c>
      <c r="L537">
        <v>103</v>
      </c>
      <c r="M537">
        <v>222168</v>
      </c>
      <c r="N537">
        <v>380213</v>
      </c>
      <c r="O537">
        <v>15</v>
      </c>
      <c r="P537">
        <v>1669012</v>
      </c>
      <c r="Q537">
        <v>7.03</v>
      </c>
      <c r="R537">
        <v>7863550</v>
      </c>
      <c r="S537">
        <v>34033171</v>
      </c>
      <c r="T537">
        <v>5899128</v>
      </c>
      <c r="U537">
        <v>7.81</v>
      </c>
      <c r="V537">
        <v>0.97</v>
      </c>
      <c r="W537">
        <v>185</v>
      </c>
      <c r="X537">
        <v>2.75</v>
      </c>
      <c r="Y537">
        <v>97.15</v>
      </c>
    </row>
    <row r="538" spans="1:25" x14ac:dyDescent="0.3">
      <c r="A538" t="s">
        <v>27</v>
      </c>
      <c r="B538" t="s">
        <v>34</v>
      </c>
      <c r="C538" t="s">
        <v>38</v>
      </c>
      <c r="D538" s="1">
        <v>44733</v>
      </c>
      <c r="E538">
        <v>10057540</v>
      </c>
      <c r="F538">
        <v>18999</v>
      </c>
      <c r="G538">
        <v>24</v>
      </c>
      <c r="H538">
        <v>55633</v>
      </c>
      <c r="I538">
        <v>66641</v>
      </c>
      <c r="J538">
        <v>2739</v>
      </c>
      <c r="K538">
        <v>22755</v>
      </c>
      <c r="L538">
        <v>1475</v>
      </c>
      <c r="M538">
        <v>295286</v>
      </c>
      <c r="N538">
        <v>345700</v>
      </c>
      <c r="O538">
        <v>3605</v>
      </c>
      <c r="P538">
        <v>447098</v>
      </c>
      <c r="Q538">
        <v>21.95</v>
      </c>
      <c r="R538">
        <v>20907606</v>
      </c>
      <c r="S538">
        <v>7982529</v>
      </c>
      <c r="T538">
        <v>21472255</v>
      </c>
      <c r="U538">
        <v>42.74</v>
      </c>
      <c r="V538">
        <v>4.6900000000000004</v>
      </c>
      <c r="W538">
        <v>2427</v>
      </c>
      <c r="X538">
        <v>3.53</v>
      </c>
      <c r="Y538">
        <v>94.34</v>
      </c>
    </row>
    <row r="539" spans="1:25" x14ac:dyDescent="0.3">
      <c r="A539" t="s">
        <v>30</v>
      </c>
      <c r="B539" t="s">
        <v>34</v>
      </c>
      <c r="C539" t="s">
        <v>41</v>
      </c>
      <c r="D539" s="1">
        <v>44734</v>
      </c>
      <c r="E539">
        <v>24834476</v>
      </c>
      <c r="F539">
        <v>2813</v>
      </c>
      <c r="G539">
        <v>18.8</v>
      </c>
      <c r="H539">
        <v>18143</v>
      </c>
      <c r="I539">
        <v>831679</v>
      </c>
      <c r="J539">
        <v>13231</v>
      </c>
      <c r="K539">
        <v>1255</v>
      </c>
      <c r="L539">
        <v>1510</v>
      </c>
      <c r="M539">
        <v>516018</v>
      </c>
      <c r="N539">
        <v>497821</v>
      </c>
      <c r="O539">
        <v>1607</v>
      </c>
      <c r="P539">
        <v>809157</v>
      </c>
      <c r="Q539">
        <v>7.71</v>
      </c>
      <c r="R539">
        <v>33330574</v>
      </c>
      <c r="S539">
        <v>2028366</v>
      </c>
      <c r="T539">
        <v>21099094</v>
      </c>
      <c r="U539">
        <v>53.24</v>
      </c>
      <c r="V539">
        <v>4.79</v>
      </c>
      <c r="W539">
        <v>1509</v>
      </c>
      <c r="X539">
        <v>4.16</v>
      </c>
      <c r="Y539">
        <v>26.6</v>
      </c>
    </row>
    <row r="540" spans="1:25" x14ac:dyDescent="0.3">
      <c r="A540" t="s">
        <v>25</v>
      </c>
      <c r="B540" t="s">
        <v>36</v>
      </c>
      <c r="C540" t="s">
        <v>37</v>
      </c>
      <c r="D540" s="1">
        <v>44735</v>
      </c>
      <c r="E540">
        <v>15222791</v>
      </c>
      <c r="F540">
        <v>6041</v>
      </c>
      <c r="G540">
        <v>27.1</v>
      </c>
      <c r="H540">
        <v>56934</v>
      </c>
      <c r="I540">
        <v>611961</v>
      </c>
      <c r="J540">
        <v>42278</v>
      </c>
      <c r="K540">
        <v>46617</v>
      </c>
      <c r="L540">
        <v>338</v>
      </c>
      <c r="M540">
        <v>550166</v>
      </c>
      <c r="N540">
        <v>249024</v>
      </c>
      <c r="O540">
        <v>5935</v>
      </c>
      <c r="P540">
        <v>1384254</v>
      </c>
      <c r="Q540">
        <v>5.26</v>
      </c>
      <c r="R540">
        <v>19952477</v>
      </c>
      <c r="S540">
        <v>21628523</v>
      </c>
      <c r="T540">
        <v>3858223</v>
      </c>
      <c r="U540">
        <v>89.87</v>
      </c>
      <c r="V540">
        <v>3.36</v>
      </c>
      <c r="W540">
        <v>4281</v>
      </c>
      <c r="X540">
        <v>3.98</v>
      </c>
      <c r="Y540">
        <v>22.63</v>
      </c>
    </row>
    <row r="541" spans="1:25" x14ac:dyDescent="0.3">
      <c r="A541" t="s">
        <v>25</v>
      </c>
      <c r="B541" t="s">
        <v>33</v>
      </c>
      <c r="C541" t="s">
        <v>41</v>
      </c>
      <c r="D541" s="1">
        <v>44736</v>
      </c>
      <c r="E541">
        <v>14663844</v>
      </c>
      <c r="F541">
        <v>10581</v>
      </c>
      <c r="G541">
        <v>32.200000000000003</v>
      </c>
      <c r="H541">
        <v>68334</v>
      </c>
      <c r="I541">
        <v>232322</v>
      </c>
      <c r="J541">
        <v>42495</v>
      </c>
      <c r="K541">
        <v>24863</v>
      </c>
      <c r="L541">
        <v>686</v>
      </c>
      <c r="M541">
        <v>837799</v>
      </c>
      <c r="N541">
        <v>179520</v>
      </c>
      <c r="O541">
        <v>2016</v>
      </c>
      <c r="P541">
        <v>1351670</v>
      </c>
      <c r="Q541">
        <v>20.72</v>
      </c>
      <c r="R541">
        <v>47417953</v>
      </c>
      <c r="S541">
        <v>18728124</v>
      </c>
      <c r="T541">
        <v>17855216</v>
      </c>
      <c r="U541">
        <v>99.77</v>
      </c>
      <c r="V541">
        <v>5.93</v>
      </c>
      <c r="W541">
        <v>862</v>
      </c>
      <c r="X541">
        <v>4.42</v>
      </c>
      <c r="Y541">
        <v>95.75</v>
      </c>
    </row>
    <row r="542" spans="1:25" x14ac:dyDescent="0.3">
      <c r="A542" t="s">
        <v>31</v>
      </c>
      <c r="B542" t="s">
        <v>35</v>
      </c>
      <c r="C542" t="s">
        <v>40</v>
      </c>
      <c r="D542" s="1">
        <v>44737</v>
      </c>
      <c r="E542">
        <v>40987099</v>
      </c>
      <c r="F542">
        <v>19840</v>
      </c>
      <c r="G542">
        <v>37.700000000000003</v>
      </c>
      <c r="H542">
        <v>30087</v>
      </c>
      <c r="I542">
        <v>268688</v>
      </c>
      <c r="J542">
        <v>21168</v>
      </c>
      <c r="K542">
        <v>27642</v>
      </c>
      <c r="L542">
        <v>1589</v>
      </c>
      <c r="M542">
        <v>336330</v>
      </c>
      <c r="N542">
        <v>281398</v>
      </c>
      <c r="O542">
        <v>3574</v>
      </c>
      <c r="P542">
        <v>1793890</v>
      </c>
      <c r="Q542">
        <v>25.28</v>
      </c>
      <c r="R542">
        <v>30558092</v>
      </c>
      <c r="S542">
        <v>15684191</v>
      </c>
      <c r="T542">
        <v>11575895</v>
      </c>
      <c r="U542">
        <v>75.34</v>
      </c>
      <c r="V542">
        <v>1.92</v>
      </c>
      <c r="W542">
        <v>901</v>
      </c>
      <c r="X542">
        <v>4.84</v>
      </c>
      <c r="Y542">
        <v>45.86</v>
      </c>
    </row>
    <row r="543" spans="1:25" x14ac:dyDescent="0.3">
      <c r="A543" t="s">
        <v>26</v>
      </c>
      <c r="B543" t="s">
        <v>34</v>
      </c>
      <c r="C543" t="s">
        <v>40</v>
      </c>
      <c r="D543" s="1">
        <v>44738</v>
      </c>
      <c r="E543">
        <v>10337695</v>
      </c>
      <c r="F543">
        <v>11114</v>
      </c>
      <c r="G543">
        <v>45.2</v>
      </c>
      <c r="H543">
        <v>12618</v>
      </c>
      <c r="I543">
        <v>772143</v>
      </c>
      <c r="J543">
        <v>32624</v>
      </c>
      <c r="K543">
        <v>12866</v>
      </c>
      <c r="L543">
        <v>899</v>
      </c>
      <c r="M543">
        <v>305519</v>
      </c>
      <c r="N543">
        <v>367947</v>
      </c>
      <c r="O543">
        <v>7274</v>
      </c>
      <c r="P543">
        <v>84576</v>
      </c>
      <c r="Q543">
        <v>14.45</v>
      </c>
      <c r="R543">
        <v>2832003</v>
      </c>
      <c r="S543">
        <v>38862867</v>
      </c>
      <c r="T543">
        <v>21482446</v>
      </c>
      <c r="U543">
        <v>97.08</v>
      </c>
      <c r="V543">
        <v>7.95</v>
      </c>
      <c r="W543">
        <v>1794</v>
      </c>
      <c r="X543">
        <v>2.25</v>
      </c>
      <c r="Y543">
        <v>20.83</v>
      </c>
    </row>
    <row r="544" spans="1:25" x14ac:dyDescent="0.3">
      <c r="A544" t="s">
        <v>27</v>
      </c>
      <c r="B544" t="s">
        <v>35</v>
      </c>
      <c r="C544" t="s">
        <v>38</v>
      </c>
      <c r="D544" s="1">
        <v>44739</v>
      </c>
      <c r="E544">
        <v>2608542</v>
      </c>
      <c r="F544">
        <v>11362</v>
      </c>
      <c r="G544">
        <v>24.3</v>
      </c>
      <c r="H544">
        <v>9446</v>
      </c>
      <c r="I544">
        <v>407491</v>
      </c>
      <c r="J544">
        <v>10635</v>
      </c>
      <c r="K544">
        <v>5115</v>
      </c>
      <c r="L544">
        <v>1501</v>
      </c>
      <c r="M544">
        <v>118671</v>
      </c>
      <c r="N544">
        <v>20329</v>
      </c>
      <c r="O544">
        <v>9935</v>
      </c>
      <c r="P544">
        <v>21557</v>
      </c>
      <c r="Q544">
        <v>15.94</v>
      </c>
      <c r="R544">
        <v>31292215</v>
      </c>
      <c r="S544">
        <v>32559485</v>
      </c>
      <c r="T544">
        <v>17025506</v>
      </c>
      <c r="U544">
        <v>78.709999999999994</v>
      </c>
      <c r="V544">
        <v>3.66</v>
      </c>
      <c r="W544">
        <v>1988</v>
      </c>
      <c r="X544">
        <v>4.76</v>
      </c>
      <c r="Y544">
        <v>70.7</v>
      </c>
    </row>
    <row r="545" spans="1:25" x14ac:dyDescent="0.3">
      <c r="A545" t="s">
        <v>31</v>
      </c>
      <c r="B545" t="s">
        <v>34</v>
      </c>
      <c r="C545" t="s">
        <v>39</v>
      </c>
      <c r="D545" s="1">
        <v>44740</v>
      </c>
      <c r="E545">
        <v>40976928</v>
      </c>
      <c r="F545">
        <v>4830</v>
      </c>
      <c r="G545">
        <v>22</v>
      </c>
      <c r="H545">
        <v>49867</v>
      </c>
      <c r="I545">
        <v>761649</v>
      </c>
      <c r="J545">
        <v>9964</v>
      </c>
      <c r="K545">
        <v>35700</v>
      </c>
      <c r="L545">
        <v>1746</v>
      </c>
      <c r="M545">
        <v>362705</v>
      </c>
      <c r="N545">
        <v>314831</v>
      </c>
      <c r="O545">
        <v>3791</v>
      </c>
      <c r="P545">
        <v>547113</v>
      </c>
      <c r="Q545">
        <v>9.08</v>
      </c>
      <c r="R545">
        <v>1035670</v>
      </c>
      <c r="S545">
        <v>33145440</v>
      </c>
      <c r="T545">
        <v>26487619</v>
      </c>
      <c r="U545">
        <v>96.32</v>
      </c>
      <c r="V545">
        <v>6.12</v>
      </c>
      <c r="W545">
        <v>920</v>
      </c>
      <c r="X545">
        <v>3.64</v>
      </c>
      <c r="Y545">
        <v>28.44</v>
      </c>
    </row>
    <row r="546" spans="1:25" x14ac:dyDescent="0.3">
      <c r="A546" t="s">
        <v>29</v>
      </c>
      <c r="B546" t="s">
        <v>32</v>
      </c>
      <c r="C546" t="s">
        <v>41</v>
      </c>
      <c r="D546" s="1">
        <v>44741</v>
      </c>
      <c r="E546">
        <v>9826243</v>
      </c>
      <c r="F546">
        <v>4227</v>
      </c>
      <c r="G546">
        <v>48.8</v>
      </c>
      <c r="H546">
        <v>52028</v>
      </c>
      <c r="I546">
        <v>588536</v>
      </c>
      <c r="J546">
        <v>27785</v>
      </c>
      <c r="K546">
        <v>2523</v>
      </c>
      <c r="L546">
        <v>606</v>
      </c>
      <c r="M546">
        <v>739589</v>
      </c>
      <c r="N546">
        <v>250570</v>
      </c>
      <c r="O546">
        <v>6406</v>
      </c>
      <c r="P546">
        <v>1320718</v>
      </c>
      <c r="Q546">
        <v>14.84</v>
      </c>
      <c r="R546">
        <v>25266784</v>
      </c>
      <c r="S546">
        <v>12854513</v>
      </c>
      <c r="T546">
        <v>15095979</v>
      </c>
      <c r="U546">
        <v>70.73</v>
      </c>
      <c r="V546">
        <v>7.3</v>
      </c>
      <c r="W546">
        <v>684</v>
      </c>
      <c r="X546">
        <v>0.45</v>
      </c>
      <c r="Y546">
        <v>26.72</v>
      </c>
    </row>
    <row r="547" spans="1:25" x14ac:dyDescent="0.3">
      <c r="A547" t="s">
        <v>29</v>
      </c>
      <c r="B547" t="s">
        <v>34</v>
      </c>
      <c r="C547" t="s">
        <v>39</v>
      </c>
      <c r="D547" s="1">
        <v>44742</v>
      </c>
      <c r="E547">
        <v>18663905</v>
      </c>
      <c r="F547">
        <v>15219</v>
      </c>
      <c r="G547">
        <v>21.5</v>
      </c>
      <c r="H547">
        <v>61101</v>
      </c>
      <c r="I547">
        <v>297694</v>
      </c>
      <c r="J547">
        <v>29510</v>
      </c>
      <c r="K547">
        <v>2811</v>
      </c>
      <c r="L547">
        <v>222</v>
      </c>
      <c r="M547">
        <v>589165</v>
      </c>
      <c r="N547">
        <v>311957</v>
      </c>
      <c r="O547">
        <v>1088</v>
      </c>
      <c r="P547">
        <v>37080</v>
      </c>
      <c r="Q547">
        <v>3.96</v>
      </c>
      <c r="R547">
        <v>22602849</v>
      </c>
      <c r="S547">
        <v>32801922</v>
      </c>
      <c r="T547">
        <v>8043364</v>
      </c>
      <c r="U547">
        <v>7.98</v>
      </c>
      <c r="V547">
        <v>8.9499999999999993</v>
      </c>
      <c r="W547">
        <v>718</v>
      </c>
      <c r="X547">
        <v>3.44</v>
      </c>
      <c r="Y547">
        <v>87.92</v>
      </c>
    </row>
    <row r="548" spans="1:25" x14ac:dyDescent="0.3">
      <c r="A548" t="s">
        <v>31</v>
      </c>
      <c r="B548" t="s">
        <v>36</v>
      </c>
      <c r="C548" t="s">
        <v>38</v>
      </c>
      <c r="D548" s="1">
        <v>44743</v>
      </c>
      <c r="E548">
        <v>46259166</v>
      </c>
      <c r="F548">
        <v>6526</v>
      </c>
      <c r="G548">
        <v>33.299999999999997</v>
      </c>
      <c r="H548">
        <v>28200</v>
      </c>
      <c r="I548">
        <v>841125</v>
      </c>
      <c r="J548">
        <v>17261</v>
      </c>
      <c r="K548">
        <v>32355</v>
      </c>
      <c r="L548">
        <v>1032</v>
      </c>
      <c r="M548">
        <v>785127</v>
      </c>
      <c r="N548">
        <v>158169</v>
      </c>
      <c r="O548">
        <v>1361</v>
      </c>
      <c r="P548">
        <v>1832679</v>
      </c>
      <c r="Q548">
        <v>28.67</v>
      </c>
      <c r="R548">
        <v>39993633</v>
      </c>
      <c r="S548">
        <v>5645916</v>
      </c>
      <c r="T548">
        <v>18335760</v>
      </c>
      <c r="U548">
        <v>40.19</v>
      </c>
      <c r="V548">
        <v>8.44</v>
      </c>
      <c r="W548">
        <v>1343</v>
      </c>
      <c r="X548">
        <v>3.46</v>
      </c>
      <c r="Y548">
        <v>16.25</v>
      </c>
    </row>
    <row r="549" spans="1:25" x14ac:dyDescent="0.3">
      <c r="A549" t="s">
        <v>25</v>
      </c>
      <c r="B549" t="s">
        <v>33</v>
      </c>
      <c r="C549" t="s">
        <v>40</v>
      </c>
      <c r="D549" s="1">
        <v>44744</v>
      </c>
      <c r="E549">
        <v>45510023</v>
      </c>
      <c r="F549">
        <v>19038</v>
      </c>
      <c r="G549">
        <v>36.700000000000003</v>
      </c>
      <c r="H549">
        <v>62465</v>
      </c>
      <c r="I549">
        <v>916356</v>
      </c>
      <c r="J549">
        <v>19254</v>
      </c>
      <c r="K549">
        <v>13905</v>
      </c>
      <c r="L549">
        <v>1076</v>
      </c>
      <c r="M549">
        <v>579479</v>
      </c>
      <c r="N549">
        <v>21201</v>
      </c>
      <c r="O549">
        <v>4473</v>
      </c>
      <c r="P549">
        <v>1238445</v>
      </c>
      <c r="Q549">
        <v>24.01</v>
      </c>
      <c r="R549">
        <v>1152738</v>
      </c>
      <c r="S549">
        <v>1474542</v>
      </c>
      <c r="T549">
        <v>29632222</v>
      </c>
      <c r="U549">
        <v>64.66</v>
      </c>
      <c r="V549">
        <v>6.28</v>
      </c>
      <c r="W549">
        <v>3138</v>
      </c>
      <c r="X549">
        <v>4.54</v>
      </c>
      <c r="Y549">
        <v>6.44</v>
      </c>
    </row>
    <row r="550" spans="1:25" x14ac:dyDescent="0.3">
      <c r="A550" t="s">
        <v>29</v>
      </c>
      <c r="B550" t="s">
        <v>32</v>
      </c>
      <c r="C550" t="s">
        <v>39</v>
      </c>
      <c r="D550" s="1">
        <v>44745</v>
      </c>
      <c r="E550">
        <v>36900662</v>
      </c>
      <c r="F550">
        <v>2432</v>
      </c>
      <c r="G550">
        <v>35.299999999999997</v>
      </c>
      <c r="H550">
        <v>40148</v>
      </c>
      <c r="I550">
        <v>413857</v>
      </c>
      <c r="J550">
        <v>11392</v>
      </c>
      <c r="K550">
        <v>39759</v>
      </c>
      <c r="L550">
        <v>1100</v>
      </c>
      <c r="M550">
        <v>458019</v>
      </c>
      <c r="N550">
        <v>40491</v>
      </c>
      <c r="O550">
        <v>5294</v>
      </c>
      <c r="P550">
        <v>1720738</v>
      </c>
      <c r="Q550">
        <v>20.04</v>
      </c>
      <c r="R550">
        <v>34733712</v>
      </c>
      <c r="S550">
        <v>20293210</v>
      </c>
      <c r="T550">
        <v>20583717</v>
      </c>
      <c r="U550">
        <v>35.07</v>
      </c>
      <c r="V550">
        <v>4.1900000000000004</v>
      </c>
      <c r="W550">
        <v>318</v>
      </c>
      <c r="X550">
        <v>1.93</v>
      </c>
      <c r="Y550">
        <v>26.92</v>
      </c>
    </row>
    <row r="551" spans="1:25" x14ac:dyDescent="0.3">
      <c r="A551" t="s">
        <v>30</v>
      </c>
      <c r="B551" t="s">
        <v>34</v>
      </c>
      <c r="C551" t="s">
        <v>39</v>
      </c>
      <c r="D551" s="1">
        <v>44746</v>
      </c>
      <c r="E551">
        <v>14470696</v>
      </c>
      <c r="F551">
        <v>16965</v>
      </c>
      <c r="G551">
        <v>20.8</v>
      </c>
      <c r="H551">
        <v>21698</v>
      </c>
      <c r="I551">
        <v>203821</v>
      </c>
      <c r="J551">
        <v>12336</v>
      </c>
      <c r="K551">
        <v>8231</v>
      </c>
      <c r="L551">
        <v>1741</v>
      </c>
      <c r="M551">
        <v>454555</v>
      </c>
      <c r="N551">
        <v>207035</v>
      </c>
      <c r="O551">
        <v>7106</v>
      </c>
      <c r="P551">
        <v>1978247</v>
      </c>
      <c r="Q551">
        <v>16.149999999999999</v>
      </c>
      <c r="R551">
        <v>24272027</v>
      </c>
      <c r="S551">
        <v>2331770</v>
      </c>
      <c r="T551">
        <v>2619189</v>
      </c>
      <c r="U551">
        <v>27.34</v>
      </c>
      <c r="V551">
        <v>5.28</v>
      </c>
      <c r="W551">
        <v>910</v>
      </c>
      <c r="X551">
        <v>2.97</v>
      </c>
      <c r="Y551">
        <v>60.69</v>
      </c>
    </row>
    <row r="552" spans="1:25" x14ac:dyDescent="0.3">
      <c r="A552" t="s">
        <v>30</v>
      </c>
      <c r="B552" t="s">
        <v>35</v>
      </c>
      <c r="C552" t="s">
        <v>40</v>
      </c>
      <c r="D552" s="1">
        <v>44747</v>
      </c>
      <c r="E552">
        <v>19395649</v>
      </c>
      <c r="F552">
        <v>12558</v>
      </c>
      <c r="G552">
        <v>19.8</v>
      </c>
      <c r="H552">
        <v>43470</v>
      </c>
      <c r="I552">
        <v>781237</v>
      </c>
      <c r="J552">
        <v>11939</v>
      </c>
      <c r="K552">
        <v>6048</v>
      </c>
      <c r="L552">
        <v>502</v>
      </c>
      <c r="M552">
        <v>311707</v>
      </c>
      <c r="N552">
        <v>72823</v>
      </c>
      <c r="O552">
        <v>7319</v>
      </c>
      <c r="P552">
        <v>494844</v>
      </c>
      <c r="Q552">
        <v>23.77</v>
      </c>
      <c r="R552">
        <v>8866573</v>
      </c>
      <c r="S552">
        <v>24630711</v>
      </c>
      <c r="T552">
        <v>6358234</v>
      </c>
      <c r="U552">
        <v>57.74</v>
      </c>
      <c r="V552">
        <v>7.8</v>
      </c>
      <c r="W552">
        <v>531</v>
      </c>
      <c r="X552">
        <v>0.16</v>
      </c>
      <c r="Y552">
        <v>12.31</v>
      </c>
    </row>
    <row r="553" spans="1:25" x14ac:dyDescent="0.3">
      <c r="A553" t="s">
        <v>31</v>
      </c>
      <c r="B553" t="s">
        <v>32</v>
      </c>
      <c r="C553" t="s">
        <v>41</v>
      </c>
      <c r="D553" s="1">
        <v>44748</v>
      </c>
      <c r="E553">
        <v>6053535</v>
      </c>
      <c r="F553">
        <v>684</v>
      </c>
      <c r="G553">
        <v>21.4</v>
      </c>
      <c r="H553">
        <v>52660</v>
      </c>
      <c r="I553">
        <v>867453</v>
      </c>
      <c r="J553">
        <v>27412</v>
      </c>
      <c r="K553">
        <v>32041</v>
      </c>
      <c r="L553">
        <v>1339</v>
      </c>
      <c r="M553">
        <v>616570</v>
      </c>
      <c r="N553">
        <v>226393</v>
      </c>
      <c r="O553">
        <v>8667</v>
      </c>
      <c r="P553">
        <v>1616271</v>
      </c>
      <c r="Q553">
        <v>14.84</v>
      </c>
      <c r="R553">
        <v>11139695</v>
      </c>
      <c r="S553">
        <v>12227486</v>
      </c>
      <c r="T553">
        <v>29128069</v>
      </c>
      <c r="U553">
        <v>93.35</v>
      </c>
      <c r="V553">
        <v>8.84</v>
      </c>
      <c r="W553">
        <v>3340</v>
      </c>
      <c r="X553">
        <v>1.73</v>
      </c>
      <c r="Y553">
        <v>47.16</v>
      </c>
    </row>
    <row r="554" spans="1:25" x14ac:dyDescent="0.3">
      <c r="A554" t="s">
        <v>27</v>
      </c>
      <c r="B554" t="s">
        <v>32</v>
      </c>
      <c r="C554" t="s">
        <v>40</v>
      </c>
      <c r="D554" s="1">
        <v>44749</v>
      </c>
      <c r="E554">
        <v>4178621</v>
      </c>
      <c r="F554">
        <v>12046</v>
      </c>
      <c r="G554">
        <v>36.700000000000003</v>
      </c>
      <c r="H554">
        <v>54910</v>
      </c>
      <c r="I554">
        <v>278749</v>
      </c>
      <c r="J554">
        <v>16676</v>
      </c>
      <c r="K554">
        <v>15092</v>
      </c>
      <c r="L554">
        <v>1837</v>
      </c>
      <c r="M554">
        <v>784684</v>
      </c>
      <c r="N554">
        <v>190577</v>
      </c>
      <c r="O554">
        <v>9481</v>
      </c>
      <c r="P554">
        <v>1169859</v>
      </c>
      <c r="Q554">
        <v>9</v>
      </c>
      <c r="R554">
        <v>38393674</v>
      </c>
      <c r="S554">
        <v>902562</v>
      </c>
      <c r="T554">
        <v>26691461</v>
      </c>
      <c r="U554">
        <v>3.5</v>
      </c>
      <c r="V554">
        <v>1.49</v>
      </c>
      <c r="W554">
        <v>3440</v>
      </c>
      <c r="X554">
        <v>0.4</v>
      </c>
      <c r="Y554">
        <v>62.73</v>
      </c>
    </row>
    <row r="555" spans="1:25" x14ac:dyDescent="0.3">
      <c r="A555" t="s">
        <v>27</v>
      </c>
      <c r="B555" t="s">
        <v>34</v>
      </c>
      <c r="C555" t="s">
        <v>39</v>
      </c>
      <c r="D555" s="1">
        <v>44750</v>
      </c>
      <c r="E555">
        <v>38611198</v>
      </c>
      <c r="F555">
        <v>14212</v>
      </c>
      <c r="G555">
        <v>35.4</v>
      </c>
      <c r="H555">
        <v>36450</v>
      </c>
      <c r="I555">
        <v>497389</v>
      </c>
      <c r="J555">
        <v>9843</v>
      </c>
      <c r="K555">
        <v>14658</v>
      </c>
      <c r="L555">
        <v>821</v>
      </c>
      <c r="M555">
        <v>78843</v>
      </c>
      <c r="N555">
        <v>166120</v>
      </c>
      <c r="O555">
        <v>8520</v>
      </c>
      <c r="P555">
        <v>14338</v>
      </c>
      <c r="Q555">
        <v>4.8099999999999996</v>
      </c>
      <c r="R555">
        <v>12975800</v>
      </c>
      <c r="S555">
        <v>4407577</v>
      </c>
      <c r="T555">
        <v>3504179</v>
      </c>
      <c r="U555">
        <v>76.92</v>
      </c>
      <c r="V555">
        <v>4.16</v>
      </c>
      <c r="W555">
        <v>1311</v>
      </c>
      <c r="X555">
        <v>2.66</v>
      </c>
      <c r="Y555">
        <v>84.87</v>
      </c>
    </row>
    <row r="556" spans="1:25" x14ac:dyDescent="0.3">
      <c r="A556" t="s">
        <v>31</v>
      </c>
      <c r="B556" t="s">
        <v>32</v>
      </c>
      <c r="C556" t="s">
        <v>41</v>
      </c>
      <c r="D556" s="1">
        <v>44751</v>
      </c>
      <c r="E556">
        <v>15574661</v>
      </c>
      <c r="F556">
        <v>16436</v>
      </c>
      <c r="G556">
        <v>25.5</v>
      </c>
      <c r="H556">
        <v>57463</v>
      </c>
      <c r="I556">
        <v>51713</v>
      </c>
      <c r="J556">
        <v>45591</v>
      </c>
      <c r="K556">
        <v>374</v>
      </c>
      <c r="L556">
        <v>1865</v>
      </c>
      <c r="M556">
        <v>345715</v>
      </c>
      <c r="N556">
        <v>362508</v>
      </c>
      <c r="O556">
        <v>1186</v>
      </c>
      <c r="P556">
        <v>601577</v>
      </c>
      <c r="Q556">
        <v>19.43</v>
      </c>
      <c r="R556">
        <v>13325004</v>
      </c>
      <c r="S556">
        <v>21259264</v>
      </c>
      <c r="T556">
        <v>9267214</v>
      </c>
      <c r="U556">
        <v>72.27</v>
      </c>
      <c r="V556">
        <v>7.87</v>
      </c>
      <c r="W556">
        <v>2382</v>
      </c>
      <c r="X556">
        <v>4.1100000000000003</v>
      </c>
      <c r="Y556">
        <v>22.99</v>
      </c>
    </row>
    <row r="557" spans="1:25" x14ac:dyDescent="0.3">
      <c r="A557" t="s">
        <v>27</v>
      </c>
      <c r="B557" t="s">
        <v>35</v>
      </c>
      <c r="C557" t="s">
        <v>41</v>
      </c>
      <c r="D557" s="1">
        <v>44752</v>
      </c>
      <c r="E557">
        <v>40281450</v>
      </c>
      <c r="F557">
        <v>14055</v>
      </c>
      <c r="G557">
        <v>38.4</v>
      </c>
      <c r="H557">
        <v>34757</v>
      </c>
      <c r="I557">
        <v>414606</v>
      </c>
      <c r="J557">
        <v>25112</v>
      </c>
      <c r="K557">
        <v>34578</v>
      </c>
      <c r="L557">
        <v>623</v>
      </c>
      <c r="M557">
        <v>646187</v>
      </c>
      <c r="N557">
        <v>446347</v>
      </c>
      <c r="O557">
        <v>3414</v>
      </c>
      <c r="P557">
        <v>1514312</v>
      </c>
      <c r="Q557">
        <v>27.88</v>
      </c>
      <c r="R557">
        <v>49112440</v>
      </c>
      <c r="S557">
        <v>19136419</v>
      </c>
      <c r="T557">
        <v>1098168</v>
      </c>
      <c r="U557">
        <v>96.4</v>
      </c>
      <c r="V557">
        <v>4.5999999999999996</v>
      </c>
      <c r="W557">
        <v>152</v>
      </c>
      <c r="X557">
        <v>1.1100000000000001</v>
      </c>
      <c r="Y557">
        <v>81.73</v>
      </c>
    </row>
    <row r="558" spans="1:25" x14ac:dyDescent="0.3">
      <c r="A558" t="s">
        <v>25</v>
      </c>
      <c r="B558" t="s">
        <v>32</v>
      </c>
      <c r="C558" t="s">
        <v>40</v>
      </c>
      <c r="D558" s="1">
        <v>44753</v>
      </c>
      <c r="E558">
        <v>22277762</v>
      </c>
      <c r="F558">
        <v>8447</v>
      </c>
      <c r="G558">
        <v>44.2</v>
      </c>
      <c r="H558">
        <v>32390</v>
      </c>
      <c r="I558">
        <v>338547</v>
      </c>
      <c r="J558">
        <v>30598</v>
      </c>
      <c r="K558">
        <v>14120</v>
      </c>
      <c r="L558">
        <v>1886</v>
      </c>
      <c r="M558">
        <v>556145</v>
      </c>
      <c r="N558">
        <v>300165</v>
      </c>
      <c r="O558">
        <v>5486</v>
      </c>
      <c r="P558">
        <v>1723831</v>
      </c>
      <c r="Q558">
        <v>4.6100000000000003</v>
      </c>
      <c r="R558">
        <v>41485761</v>
      </c>
      <c r="S558">
        <v>28740939</v>
      </c>
      <c r="T558">
        <v>27481199</v>
      </c>
      <c r="U558">
        <v>93.07</v>
      </c>
      <c r="V558">
        <v>3.66</v>
      </c>
      <c r="W558">
        <v>3844</v>
      </c>
      <c r="X558">
        <v>2.68</v>
      </c>
      <c r="Y558">
        <v>23.49</v>
      </c>
    </row>
    <row r="559" spans="1:25" x14ac:dyDescent="0.3">
      <c r="A559" t="s">
        <v>25</v>
      </c>
      <c r="B559" t="s">
        <v>35</v>
      </c>
      <c r="C559" t="s">
        <v>39</v>
      </c>
      <c r="D559" s="1">
        <v>44754</v>
      </c>
      <c r="E559">
        <v>10186599</v>
      </c>
      <c r="F559">
        <v>12377</v>
      </c>
      <c r="G559">
        <v>19.3</v>
      </c>
      <c r="H559">
        <v>57116</v>
      </c>
      <c r="I559">
        <v>845898</v>
      </c>
      <c r="J559">
        <v>35454</v>
      </c>
      <c r="K559">
        <v>5968</v>
      </c>
      <c r="L559">
        <v>164</v>
      </c>
      <c r="M559">
        <v>465554</v>
      </c>
      <c r="N559">
        <v>465887</v>
      </c>
      <c r="O559">
        <v>3536</v>
      </c>
      <c r="P559">
        <v>179982</v>
      </c>
      <c r="Q559">
        <v>5.4</v>
      </c>
      <c r="R559">
        <v>33960929</v>
      </c>
      <c r="S559">
        <v>3469398</v>
      </c>
      <c r="T559">
        <v>9625589</v>
      </c>
      <c r="U559">
        <v>76.22</v>
      </c>
      <c r="V559">
        <v>4.41</v>
      </c>
      <c r="W559">
        <v>4937</v>
      </c>
      <c r="X559">
        <v>1.1000000000000001</v>
      </c>
      <c r="Y559">
        <v>67.680000000000007</v>
      </c>
    </row>
    <row r="560" spans="1:25" x14ac:dyDescent="0.3">
      <c r="A560" t="s">
        <v>27</v>
      </c>
      <c r="B560" t="s">
        <v>34</v>
      </c>
      <c r="C560" t="s">
        <v>38</v>
      </c>
      <c r="D560" s="1">
        <v>44755</v>
      </c>
      <c r="E560">
        <v>7471138</v>
      </c>
      <c r="F560">
        <v>14444</v>
      </c>
      <c r="G560">
        <v>33.9</v>
      </c>
      <c r="H560">
        <v>14161</v>
      </c>
      <c r="I560">
        <v>529269</v>
      </c>
      <c r="J560">
        <v>33001</v>
      </c>
      <c r="K560">
        <v>9106</v>
      </c>
      <c r="L560">
        <v>1302</v>
      </c>
      <c r="M560">
        <v>819246</v>
      </c>
      <c r="N560">
        <v>470323</v>
      </c>
      <c r="O560">
        <v>1773</v>
      </c>
      <c r="P560">
        <v>1967037</v>
      </c>
      <c r="Q560">
        <v>13.01</v>
      </c>
      <c r="R560">
        <v>12842100</v>
      </c>
      <c r="S560">
        <v>10211992</v>
      </c>
      <c r="T560">
        <v>2629479</v>
      </c>
      <c r="U560">
        <v>52.04</v>
      </c>
      <c r="V560">
        <v>6.23</v>
      </c>
      <c r="W560">
        <v>4384</v>
      </c>
      <c r="X560">
        <v>0.69</v>
      </c>
      <c r="Y560">
        <v>43.07</v>
      </c>
    </row>
    <row r="561" spans="1:25" x14ac:dyDescent="0.3">
      <c r="A561" t="s">
        <v>30</v>
      </c>
      <c r="B561" t="s">
        <v>33</v>
      </c>
      <c r="C561" t="s">
        <v>39</v>
      </c>
      <c r="D561" s="1">
        <v>44756</v>
      </c>
      <c r="E561">
        <v>30950573</v>
      </c>
      <c r="F561">
        <v>2940</v>
      </c>
      <c r="G561">
        <v>40.1</v>
      </c>
      <c r="H561">
        <v>33152</v>
      </c>
      <c r="I561">
        <v>927997</v>
      </c>
      <c r="J561">
        <v>27228</v>
      </c>
      <c r="K561">
        <v>7446</v>
      </c>
      <c r="L561">
        <v>1050</v>
      </c>
      <c r="M561">
        <v>442413</v>
      </c>
      <c r="N561">
        <v>290704</v>
      </c>
      <c r="O561">
        <v>5415</v>
      </c>
      <c r="P561">
        <v>1158943</v>
      </c>
      <c r="Q561">
        <v>24.21</v>
      </c>
      <c r="R561">
        <v>11779676</v>
      </c>
      <c r="S561">
        <v>38810461</v>
      </c>
      <c r="T561">
        <v>19013638</v>
      </c>
      <c r="U561">
        <v>20.43</v>
      </c>
      <c r="V561">
        <v>10</v>
      </c>
      <c r="W561">
        <v>2742</v>
      </c>
      <c r="X561">
        <v>2.6</v>
      </c>
      <c r="Y561">
        <v>11.47</v>
      </c>
    </row>
    <row r="562" spans="1:25" x14ac:dyDescent="0.3">
      <c r="A562" t="s">
        <v>27</v>
      </c>
      <c r="B562" t="s">
        <v>32</v>
      </c>
      <c r="C562" t="s">
        <v>37</v>
      </c>
      <c r="D562" s="1">
        <v>44757</v>
      </c>
      <c r="E562">
        <v>49291739</v>
      </c>
      <c r="F562">
        <v>10908</v>
      </c>
      <c r="G562">
        <v>26.1</v>
      </c>
      <c r="H562">
        <v>21836</v>
      </c>
      <c r="I562">
        <v>989722</v>
      </c>
      <c r="J562">
        <v>14429</v>
      </c>
      <c r="K562">
        <v>21187</v>
      </c>
      <c r="L562">
        <v>1093</v>
      </c>
      <c r="M562">
        <v>595071</v>
      </c>
      <c r="N562">
        <v>414387</v>
      </c>
      <c r="O562">
        <v>2558</v>
      </c>
      <c r="P562">
        <v>329042</v>
      </c>
      <c r="Q562">
        <v>8.82</v>
      </c>
      <c r="R562">
        <v>10518308</v>
      </c>
      <c r="S562">
        <v>35813050</v>
      </c>
      <c r="T562">
        <v>10651186</v>
      </c>
      <c r="U562">
        <v>54.52</v>
      </c>
      <c r="V562">
        <v>5.18</v>
      </c>
      <c r="W562">
        <v>3721</v>
      </c>
      <c r="X562">
        <v>0.49</v>
      </c>
      <c r="Y562">
        <v>71.430000000000007</v>
      </c>
    </row>
    <row r="563" spans="1:25" x14ac:dyDescent="0.3">
      <c r="A563" t="s">
        <v>25</v>
      </c>
      <c r="B563" t="s">
        <v>33</v>
      </c>
      <c r="C563" t="s">
        <v>38</v>
      </c>
      <c r="D563" s="1">
        <v>44758</v>
      </c>
      <c r="E563">
        <v>44257228</v>
      </c>
      <c r="F563">
        <v>8076</v>
      </c>
      <c r="G563">
        <v>27.8</v>
      </c>
      <c r="H563">
        <v>67543</v>
      </c>
      <c r="I563">
        <v>989822</v>
      </c>
      <c r="J563">
        <v>18758</v>
      </c>
      <c r="K563">
        <v>26764</v>
      </c>
      <c r="L563">
        <v>1241</v>
      </c>
      <c r="M563">
        <v>60067</v>
      </c>
      <c r="N563">
        <v>197290</v>
      </c>
      <c r="O563">
        <v>5907</v>
      </c>
      <c r="P563">
        <v>921958</v>
      </c>
      <c r="Q563">
        <v>7.62</v>
      </c>
      <c r="R563">
        <v>34565835</v>
      </c>
      <c r="S563">
        <v>9388817</v>
      </c>
      <c r="T563">
        <v>22790969</v>
      </c>
      <c r="U563">
        <v>76.540000000000006</v>
      </c>
      <c r="V563">
        <v>2.48</v>
      </c>
      <c r="W563">
        <v>931</v>
      </c>
      <c r="X563">
        <v>2.98</v>
      </c>
      <c r="Y563">
        <v>21.78</v>
      </c>
    </row>
    <row r="564" spans="1:25" x14ac:dyDescent="0.3">
      <c r="A564" t="s">
        <v>28</v>
      </c>
      <c r="B564" t="s">
        <v>35</v>
      </c>
      <c r="C564" t="s">
        <v>41</v>
      </c>
      <c r="D564" s="1">
        <v>44759</v>
      </c>
      <c r="E564">
        <v>44550399</v>
      </c>
      <c r="F564">
        <v>3356</v>
      </c>
      <c r="G564">
        <v>37.6</v>
      </c>
      <c r="H564">
        <v>56648</v>
      </c>
      <c r="I564">
        <v>903063</v>
      </c>
      <c r="J564">
        <v>2272</v>
      </c>
      <c r="K564">
        <v>24554</v>
      </c>
      <c r="L564">
        <v>1985</v>
      </c>
      <c r="M564">
        <v>309650</v>
      </c>
      <c r="N564">
        <v>179454</v>
      </c>
      <c r="O564">
        <v>5079</v>
      </c>
      <c r="P564">
        <v>1691350</v>
      </c>
      <c r="Q564">
        <v>18.600000000000001</v>
      </c>
      <c r="R564">
        <v>13999609</v>
      </c>
      <c r="S564">
        <v>25277992</v>
      </c>
      <c r="T564">
        <v>22286064</v>
      </c>
      <c r="U564">
        <v>89.57</v>
      </c>
      <c r="V564">
        <v>2.0499999999999998</v>
      </c>
      <c r="W564">
        <v>2285</v>
      </c>
      <c r="X564">
        <v>0.25</v>
      </c>
      <c r="Y564">
        <v>17.66</v>
      </c>
    </row>
    <row r="565" spans="1:25" x14ac:dyDescent="0.3">
      <c r="A565" t="s">
        <v>26</v>
      </c>
      <c r="B565" t="s">
        <v>32</v>
      </c>
      <c r="C565" t="s">
        <v>38</v>
      </c>
      <c r="D565" s="1">
        <v>44760</v>
      </c>
      <c r="E565">
        <v>42661441</v>
      </c>
      <c r="F565">
        <v>947</v>
      </c>
      <c r="G565">
        <v>46.7</v>
      </c>
      <c r="H565">
        <v>27331</v>
      </c>
      <c r="I565">
        <v>382382</v>
      </c>
      <c r="J565">
        <v>17350</v>
      </c>
      <c r="K565">
        <v>12648</v>
      </c>
      <c r="L565">
        <v>1388</v>
      </c>
      <c r="M565">
        <v>238278</v>
      </c>
      <c r="N565">
        <v>91825</v>
      </c>
      <c r="O565">
        <v>9454</v>
      </c>
      <c r="P565">
        <v>1398260</v>
      </c>
      <c r="Q565">
        <v>16.07</v>
      </c>
      <c r="R565">
        <v>22695100</v>
      </c>
      <c r="S565">
        <v>24471171</v>
      </c>
      <c r="T565">
        <v>27051252</v>
      </c>
      <c r="U565">
        <v>78.97</v>
      </c>
      <c r="V565">
        <v>0.9</v>
      </c>
      <c r="W565">
        <v>3084</v>
      </c>
      <c r="X565">
        <v>0.62</v>
      </c>
      <c r="Y565">
        <v>35.83</v>
      </c>
    </row>
    <row r="566" spans="1:25" x14ac:dyDescent="0.3">
      <c r="A566" t="s">
        <v>29</v>
      </c>
      <c r="B566" t="s">
        <v>36</v>
      </c>
      <c r="C566" t="s">
        <v>41</v>
      </c>
      <c r="D566" s="1">
        <v>44761</v>
      </c>
      <c r="E566">
        <v>26650956</v>
      </c>
      <c r="F566">
        <v>9327</v>
      </c>
      <c r="G566">
        <v>43.9</v>
      </c>
      <c r="H566">
        <v>11763</v>
      </c>
      <c r="I566">
        <v>96335</v>
      </c>
      <c r="J566">
        <v>22538</v>
      </c>
      <c r="K566">
        <v>189</v>
      </c>
      <c r="L566">
        <v>1724</v>
      </c>
      <c r="M566">
        <v>142258</v>
      </c>
      <c r="N566">
        <v>320689</v>
      </c>
      <c r="O566">
        <v>6724</v>
      </c>
      <c r="P566">
        <v>1544351</v>
      </c>
      <c r="Q566">
        <v>1.81</v>
      </c>
      <c r="R566">
        <v>46362075</v>
      </c>
      <c r="S566">
        <v>38407290</v>
      </c>
      <c r="T566">
        <v>18877804</v>
      </c>
      <c r="U566">
        <v>19.53</v>
      </c>
      <c r="V566">
        <v>5.81</v>
      </c>
      <c r="W566">
        <v>4939</v>
      </c>
      <c r="X566">
        <v>2.79</v>
      </c>
      <c r="Y566">
        <v>65.33</v>
      </c>
    </row>
    <row r="567" spans="1:25" x14ac:dyDescent="0.3">
      <c r="A567" t="s">
        <v>28</v>
      </c>
      <c r="B567" t="s">
        <v>33</v>
      </c>
      <c r="C567" t="s">
        <v>41</v>
      </c>
      <c r="D567" s="1">
        <v>44762</v>
      </c>
      <c r="E567">
        <v>9047900</v>
      </c>
      <c r="F567">
        <v>9521</v>
      </c>
      <c r="G567">
        <v>36.700000000000003</v>
      </c>
      <c r="H567">
        <v>20187</v>
      </c>
      <c r="I567">
        <v>108441</v>
      </c>
      <c r="J567">
        <v>3400</v>
      </c>
      <c r="K567">
        <v>3883</v>
      </c>
      <c r="L567">
        <v>1868</v>
      </c>
      <c r="M567">
        <v>586394</v>
      </c>
      <c r="N567">
        <v>212239</v>
      </c>
      <c r="O567">
        <v>5420</v>
      </c>
      <c r="P567">
        <v>1788073</v>
      </c>
      <c r="Q567">
        <v>2.44</v>
      </c>
      <c r="R567">
        <v>38952258</v>
      </c>
      <c r="S567">
        <v>27741887</v>
      </c>
      <c r="T567">
        <v>24735086</v>
      </c>
      <c r="U567">
        <v>59.97</v>
      </c>
      <c r="V567">
        <v>5.67</v>
      </c>
      <c r="W567">
        <v>2627</v>
      </c>
      <c r="X567">
        <v>3</v>
      </c>
      <c r="Y567">
        <v>23.4</v>
      </c>
    </row>
    <row r="568" spans="1:25" x14ac:dyDescent="0.3">
      <c r="A568" t="s">
        <v>27</v>
      </c>
      <c r="B568" t="s">
        <v>32</v>
      </c>
      <c r="C568" t="s">
        <v>38</v>
      </c>
      <c r="D568" s="1">
        <v>44763</v>
      </c>
      <c r="E568">
        <v>31385970</v>
      </c>
      <c r="F568">
        <v>14946</v>
      </c>
      <c r="G568">
        <v>41.4</v>
      </c>
      <c r="H568">
        <v>12957</v>
      </c>
      <c r="I568">
        <v>17984</v>
      </c>
      <c r="J568">
        <v>15371</v>
      </c>
      <c r="K568">
        <v>17580</v>
      </c>
      <c r="L568">
        <v>1970</v>
      </c>
      <c r="M568">
        <v>281535</v>
      </c>
      <c r="N568">
        <v>344452</v>
      </c>
      <c r="O568">
        <v>3291</v>
      </c>
      <c r="P568">
        <v>444853</v>
      </c>
      <c r="Q568">
        <v>19.29</v>
      </c>
      <c r="R568">
        <v>41433033</v>
      </c>
      <c r="S568">
        <v>7667143</v>
      </c>
      <c r="T568">
        <v>21667737</v>
      </c>
      <c r="U568">
        <v>33.22</v>
      </c>
      <c r="V568">
        <v>2.4500000000000002</v>
      </c>
      <c r="W568">
        <v>725</v>
      </c>
      <c r="X568">
        <v>0.24</v>
      </c>
      <c r="Y568">
        <v>18.37</v>
      </c>
    </row>
    <row r="569" spans="1:25" x14ac:dyDescent="0.3">
      <c r="A569" t="s">
        <v>30</v>
      </c>
      <c r="B569" t="s">
        <v>33</v>
      </c>
      <c r="C569" t="s">
        <v>41</v>
      </c>
      <c r="D569" s="1">
        <v>44764</v>
      </c>
      <c r="E569">
        <v>30356890</v>
      </c>
      <c r="F569">
        <v>15290</v>
      </c>
      <c r="G569">
        <v>29.7</v>
      </c>
      <c r="H569">
        <v>5379</v>
      </c>
      <c r="I569">
        <v>650868</v>
      </c>
      <c r="J569">
        <v>37310</v>
      </c>
      <c r="K569">
        <v>48233</v>
      </c>
      <c r="L569">
        <v>1329</v>
      </c>
      <c r="M569">
        <v>445831</v>
      </c>
      <c r="N569">
        <v>448132</v>
      </c>
      <c r="O569">
        <v>9210</v>
      </c>
      <c r="P569">
        <v>1829919</v>
      </c>
      <c r="Q569">
        <v>13.95</v>
      </c>
      <c r="R569">
        <v>13569203</v>
      </c>
      <c r="S569">
        <v>8649649</v>
      </c>
      <c r="T569">
        <v>7356089</v>
      </c>
      <c r="U569">
        <v>0.92</v>
      </c>
      <c r="V569">
        <v>7.11</v>
      </c>
      <c r="W569">
        <v>2489</v>
      </c>
      <c r="X569">
        <v>2.91</v>
      </c>
      <c r="Y569">
        <v>1</v>
      </c>
    </row>
    <row r="570" spans="1:25" x14ac:dyDescent="0.3">
      <c r="A570" t="s">
        <v>31</v>
      </c>
      <c r="B570" t="s">
        <v>32</v>
      </c>
      <c r="C570" t="s">
        <v>41</v>
      </c>
      <c r="D570" s="1">
        <v>44765</v>
      </c>
      <c r="E570">
        <v>41599621</v>
      </c>
      <c r="F570">
        <v>14733</v>
      </c>
      <c r="G570">
        <v>38.5</v>
      </c>
      <c r="H570">
        <v>28959</v>
      </c>
      <c r="I570">
        <v>898748</v>
      </c>
      <c r="J570">
        <v>36291</v>
      </c>
      <c r="K570">
        <v>17167</v>
      </c>
      <c r="L570">
        <v>1147</v>
      </c>
      <c r="M570">
        <v>626520</v>
      </c>
      <c r="N570">
        <v>368527</v>
      </c>
      <c r="O570">
        <v>9981</v>
      </c>
      <c r="P570">
        <v>661709</v>
      </c>
      <c r="Q570">
        <v>29.13</v>
      </c>
      <c r="R570">
        <v>29775633</v>
      </c>
      <c r="S570">
        <v>36856209</v>
      </c>
      <c r="T570">
        <v>4719902</v>
      </c>
      <c r="U570">
        <v>20.02</v>
      </c>
      <c r="V570">
        <v>7.54</v>
      </c>
      <c r="W570">
        <v>1731</v>
      </c>
      <c r="X570">
        <v>4.21</v>
      </c>
      <c r="Y570">
        <v>47.16</v>
      </c>
    </row>
    <row r="571" spans="1:25" x14ac:dyDescent="0.3">
      <c r="A571" t="s">
        <v>27</v>
      </c>
      <c r="B571" t="s">
        <v>34</v>
      </c>
      <c r="C571" t="s">
        <v>37</v>
      </c>
      <c r="D571" s="1">
        <v>44766</v>
      </c>
      <c r="E571">
        <v>12056367</v>
      </c>
      <c r="F571">
        <v>720</v>
      </c>
      <c r="G571">
        <v>32.9</v>
      </c>
      <c r="H571">
        <v>28105</v>
      </c>
      <c r="I571">
        <v>416976</v>
      </c>
      <c r="J571">
        <v>18147</v>
      </c>
      <c r="K571">
        <v>45575</v>
      </c>
      <c r="L571">
        <v>18</v>
      </c>
      <c r="M571">
        <v>716579</v>
      </c>
      <c r="N571">
        <v>85879</v>
      </c>
      <c r="O571">
        <v>3524</v>
      </c>
      <c r="P571">
        <v>1961424</v>
      </c>
      <c r="Q571">
        <v>20.36</v>
      </c>
      <c r="R571">
        <v>22271156</v>
      </c>
      <c r="S571">
        <v>4296271</v>
      </c>
      <c r="T571">
        <v>16379841</v>
      </c>
      <c r="U571">
        <v>11.32</v>
      </c>
      <c r="V571">
        <v>2.96</v>
      </c>
      <c r="W571">
        <v>1326</v>
      </c>
      <c r="X571">
        <v>3.64</v>
      </c>
      <c r="Y571">
        <v>42.86</v>
      </c>
    </row>
    <row r="572" spans="1:25" x14ac:dyDescent="0.3">
      <c r="A572" t="s">
        <v>30</v>
      </c>
      <c r="B572" t="s">
        <v>33</v>
      </c>
      <c r="C572" t="s">
        <v>39</v>
      </c>
      <c r="D572" s="1">
        <v>44767</v>
      </c>
      <c r="E572">
        <v>42906977</v>
      </c>
      <c r="F572">
        <v>17939</v>
      </c>
      <c r="G572">
        <v>24.1</v>
      </c>
      <c r="H572">
        <v>1877</v>
      </c>
      <c r="I572">
        <v>657884</v>
      </c>
      <c r="J572">
        <v>3291</v>
      </c>
      <c r="K572">
        <v>4470</v>
      </c>
      <c r="L572">
        <v>1280</v>
      </c>
      <c r="M572">
        <v>816809</v>
      </c>
      <c r="N572">
        <v>3160</v>
      </c>
      <c r="O572">
        <v>3504</v>
      </c>
      <c r="P572">
        <v>827395</v>
      </c>
      <c r="Q572">
        <v>0.3</v>
      </c>
      <c r="R572">
        <v>18224062</v>
      </c>
      <c r="S572">
        <v>393345</v>
      </c>
      <c r="T572">
        <v>29828699</v>
      </c>
      <c r="U572">
        <v>84.27</v>
      </c>
      <c r="V572">
        <v>3.77</v>
      </c>
      <c r="W572">
        <v>4817</v>
      </c>
      <c r="X572">
        <v>0.74</v>
      </c>
      <c r="Y572">
        <v>23.39</v>
      </c>
    </row>
    <row r="573" spans="1:25" x14ac:dyDescent="0.3">
      <c r="A573" t="s">
        <v>26</v>
      </c>
      <c r="B573" t="s">
        <v>36</v>
      </c>
      <c r="C573" t="s">
        <v>39</v>
      </c>
      <c r="D573" s="1">
        <v>44768</v>
      </c>
      <c r="E573">
        <v>15775664</v>
      </c>
      <c r="F573">
        <v>11817</v>
      </c>
      <c r="G573">
        <v>40.5</v>
      </c>
      <c r="H573">
        <v>49353</v>
      </c>
      <c r="I573">
        <v>643742</v>
      </c>
      <c r="J573">
        <v>35256</v>
      </c>
      <c r="K573">
        <v>48094</v>
      </c>
      <c r="L573">
        <v>1319</v>
      </c>
      <c r="M573">
        <v>249965</v>
      </c>
      <c r="N573">
        <v>125906</v>
      </c>
      <c r="O573">
        <v>8998</v>
      </c>
      <c r="P573">
        <v>994087</v>
      </c>
      <c r="Q573">
        <v>14.43</v>
      </c>
      <c r="R573">
        <v>25265844</v>
      </c>
      <c r="S573">
        <v>9759011</v>
      </c>
      <c r="T573">
        <v>10206313</v>
      </c>
      <c r="U573">
        <v>25.85</v>
      </c>
      <c r="V573">
        <v>9.91</v>
      </c>
      <c r="W573">
        <v>3297</v>
      </c>
      <c r="X573">
        <v>3</v>
      </c>
      <c r="Y573">
        <v>5.37</v>
      </c>
    </row>
    <row r="574" spans="1:25" x14ac:dyDescent="0.3">
      <c r="A574" t="s">
        <v>27</v>
      </c>
      <c r="B574" t="s">
        <v>36</v>
      </c>
      <c r="C574" t="s">
        <v>37</v>
      </c>
      <c r="D574" s="1">
        <v>44769</v>
      </c>
      <c r="E574">
        <v>3181206</v>
      </c>
      <c r="F574">
        <v>13056</v>
      </c>
      <c r="G574">
        <v>35.799999999999997</v>
      </c>
      <c r="H574">
        <v>52567</v>
      </c>
      <c r="I574">
        <v>50402</v>
      </c>
      <c r="J574">
        <v>10892</v>
      </c>
      <c r="K574">
        <v>362</v>
      </c>
      <c r="L574">
        <v>1951</v>
      </c>
      <c r="M574">
        <v>225089</v>
      </c>
      <c r="N574">
        <v>275975</v>
      </c>
      <c r="O574">
        <v>5989</v>
      </c>
      <c r="P574">
        <v>1450542</v>
      </c>
      <c r="Q574">
        <v>12.43</v>
      </c>
      <c r="R574">
        <v>21603316</v>
      </c>
      <c r="S574">
        <v>20230419</v>
      </c>
      <c r="T574">
        <v>22799372</v>
      </c>
      <c r="U574">
        <v>28.47</v>
      </c>
      <c r="V574">
        <v>4.0599999999999996</v>
      </c>
      <c r="W574">
        <v>4984</v>
      </c>
      <c r="X574">
        <v>3.39</v>
      </c>
      <c r="Y574">
        <v>42.93</v>
      </c>
    </row>
    <row r="575" spans="1:25" x14ac:dyDescent="0.3">
      <c r="A575" t="s">
        <v>25</v>
      </c>
      <c r="B575" t="s">
        <v>35</v>
      </c>
      <c r="C575" t="s">
        <v>38</v>
      </c>
      <c r="D575" s="1">
        <v>44770</v>
      </c>
      <c r="E575">
        <v>34242203</v>
      </c>
      <c r="F575">
        <v>15818</v>
      </c>
      <c r="G575">
        <v>29.5</v>
      </c>
      <c r="H575">
        <v>58913</v>
      </c>
      <c r="I575">
        <v>92656</v>
      </c>
      <c r="J575">
        <v>34326</v>
      </c>
      <c r="K575">
        <v>21596</v>
      </c>
      <c r="L575">
        <v>1045</v>
      </c>
      <c r="M575">
        <v>538814</v>
      </c>
      <c r="N575">
        <v>340074</v>
      </c>
      <c r="O575">
        <v>2666</v>
      </c>
      <c r="P575">
        <v>358073</v>
      </c>
      <c r="Q575">
        <v>3.2</v>
      </c>
      <c r="R575">
        <v>41400090</v>
      </c>
      <c r="S575">
        <v>19123087</v>
      </c>
      <c r="T575">
        <v>3736029</v>
      </c>
      <c r="U575">
        <v>95.99</v>
      </c>
      <c r="V575">
        <v>7.73</v>
      </c>
      <c r="W575">
        <v>3698</v>
      </c>
      <c r="X575">
        <v>0.28000000000000003</v>
      </c>
      <c r="Y575">
        <v>78.819999999999993</v>
      </c>
    </row>
    <row r="576" spans="1:25" x14ac:dyDescent="0.3">
      <c r="A576" t="s">
        <v>31</v>
      </c>
      <c r="B576" t="s">
        <v>32</v>
      </c>
      <c r="C576" t="s">
        <v>40</v>
      </c>
      <c r="D576" s="1">
        <v>44771</v>
      </c>
      <c r="E576">
        <v>17514415</v>
      </c>
      <c r="F576">
        <v>16683</v>
      </c>
      <c r="G576">
        <v>47.2</v>
      </c>
      <c r="H576">
        <v>3637</v>
      </c>
      <c r="I576">
        <v>66614</v>
      </c>
      <c r="J576">
        <v>37458</v>
      </c>
      <c r="K576">
        <v>5354</v>
      </c>
      <c r="L576">
        <v>1903</v>
      </c>
      <c r="M576">
        <v>283066</v>
      </c>
      <c r="N576">
        <v>115971</v>
      </c>
      <c r="O576">
        <v>8596</v>
      </c>
      <c r="P576">
        <v>1727399</v>
      </c>
      <c r="Q576">
        <v>27.7</v>
      </c>
      <c r="R576">
        <v>46204190</v>
      </c>
      <c r="S576">
        <v>36093303</v>
      </c>
      <c r="T576">
        <v>17623670</v>
      </c>
      <c r="U576">
        <v>37.909999999999997</v>
      </c>
      <c r="V576">
        <v>4.8</v>
      </c>
      <c r="W576">
        <v>1362</v>
      </c>
      <c r="X576">
        <v>4.29</v>
      </c>
      <c r="Y576">
        <v>71.53</v>
      </c>
    </row>
    <row r="577" spans="1:25" x14ac:dyDescent="0.3">
      <c r="A577" t="s">
        <v>30</v>
      </c>
      <c r="B577" t="s">
        <v>33</v>
      </c>
      <c r="C577" t="s">
        <v>40</v>
      </c>
      <c r="D577" s="1">
        <v>44772</v>
      </c>
      <c r="E577">
        <v>41344645</v>
      </c>
      <c r="F577">
        <v>1942</v>
      </c>
      <c r="G577">
        <v>18.7</v>
      </c>
      <c r="H577">
        <v>43025</v>
      </c>
      <c r="I577">
        <v>167963</v>
      </c>
      <c r="J577">
        <v>38889</v>
      </c>
      <c r="K577">
        <v>4517</v>
      </c>
      <c r="L577">
        <v>988</v>
      </c>
      <c r="M577">
        <v>296125</v>
      </c>
      <c r="N577">
        <v>20819</v>
      </c>
      <c r="O577">
        <v>7140</v>
      </c>
      <c r="P577">
        <v>600223</v>
      </c>
      <c r="Q577">
        <v>24.15</v>
      </c>
      <c r="R577">
        <v>8831593</v>
      </c>
      <c r="S577">
        <v>33713053</v>
      </c>
      <c r="T577">
        <v>19538634</v>
      </c>
      <c r="U577">
        <v>0.96</v>
      </c>
      <c r="V577">
        <v>8.0399999999999991</v>
      </c>
      <c r="W577">
        <v>1123</v>
      </c>
      <c r="X577">
        <v>4.54</v>
      </c>
      <c r="Y577">
        <v>86.08</v>
      </c>
    </row>
    <row r="578" spans="1:25" x14ac:dyDescent="0.3">
      <c r="A578" t="s">
        <v>30</v>
      </c>
      <c r="B578" t="s">
        <v>35</v>
      </c>
      <c r="C578" t="s">
        <v>40</v>
      </c>
      <c r="D578" s="1">
        <v>44773</v>
      </c>
      <c r="E578">
        <v>14892507</v>
      </c>
      <c r="F578">
        <v>3489</v>
      </c>
      <c r="G578">
        <v>28.1</v>
      </c>
      <c r="H578">
        <v>29742</v>
      </c>
      <c r="I578">
        <v>354153</v>
      </c>
      <c r="J578">
        <v>44966</v>
      </c>
      <c r="K578">
        <v>37608</v>
      </c>
      <c r="L578">
        <v>449</v>
      </c>
      <c r="M578">
        <v>876112</v>
      </c>
      <c r="N578">
        <v>440358</v>
      </c>
      <c r="O578">
        <v>8785</v>
      </c>
      <c r="P578">
        <v>1763728</v>
      </c>
      <c r="Q578">
        <v>6.9</v>
      </c>
      <c r="R578">
        <v>43481349</v>
      </c>
      <c r="S578">
        <v>12070966</v>
      </c>
      <c r="T578">
        <v>22685324</v>
      </c>
      <c r="U578">
        <v>28.38</v>
      </c>
      <c r="V578">
        <v>7.81</v>
      </c>
      <c r="W578">
        <v>4149</v>
      </c>
      <c r="X578">
        <v>4.2699999999999996</v>
      </c>
      <c r="Y578">
        <v>0.96</v>
      </c>
    </row>
    <row r="579" spans="1:25" x14ac:dyDescent="0.3">
      <c r="A579" t="s">
        <v>30</v>
      </c>
      <c r="B579" t="s">
        <v>33</v>
      </c>
      <c r="C579" t="s">
        <v>37</v>
      </c>
      <c r="D579" s="1">
        <v>44774</v>
      </c>
      <c r="E579">
        <v>20134497</v>
      </c>
      <c r="F579">
        <v>2904</v>
      </c>
      <c r="G579">
        <v>19.8</v>
      </c>
      <c r="H579">
        <v>12831</v>
      </c>
      <c r="I579">
        <v>434048</v>
      </c>
      <c r="J579">
        <v>37207</v>
      </c>
      <c r="K579">
        <v>43998</v>
      </c>
      <c r="L579">
        <v>551</v>
      </c>
      <c r="M579">
        <v>634172</v>
      </c>
      <c r="N579">
        <v>49216</v>
      </c>
      <c r="O579">
        <v>6895</v>
      </c>
      <c r="P579">
        <v>801118</v>
      </c>
      <c r="Q579">
        <v>7.68</v>
      </c>
      <c r="R579">
        <v>21347850</v>
      </c>
      <c r="S579">
        <v>29134401</v>
      </c>
      <c r="T579">
        <v>19417202</v>
      </c>
      <c r="U579">
        <v>11.93</v>
      </c>
      <c r="V579">
        <v>6.84</v>
      </c>
      <c r="W579">
        <v>1704</v>
      </c>
      <c r="X579">
        <v>4.1399999999999997</v>
      </c>
      <c r="Y579">
        <v>96.64</v>
      </c>
    </row>
    <row r="580" spans="1:25" x14ac:dyDescent="0.3">
      <c r="A580" t="s">
        <v>26</v>
      </c>
      <c r="B580" t="s">
        <v>32</v>
      </c>
      <c r="C580" t="s">
        <v>37</v>
      </c>
      <c r="D580" s="1">
        <v>44775</v>
      </c>
      <c r="E580">
        <v>45175521</v>
      </c>
      <c r="F580">
        <v>11627</v>
      </c>
      <c r="G580">
        <v>42.5</v>
      </c>
      <c r="H580">
        <v>47762</v>
      </c>
      <c r="I580">
        <v>308980</v>
      </c>
      <c r="J580">
        <v>40288</v>
      </c>
      <c r="K580">
        <v>32895</v>
      </c>
      <c r="L580">
        <v>1573</v>
      </c>
      <c r="M580">
        <v>253271</v>
      </c>
      <c r="N580">
        <v>26425</v>
      </c>
      <c r="O580">
        <v>4107</v>
      </c>
      <c r="P580">
        <v>1549131</v>
      </c>
      <c r="Q580">
        <v>0.96</v>
      </c>
      <c r="R580">
        <v>30150817</v>
      </c>
      <c r="S580">
        <v>7023330</v>
      </c>
      <c r="T580">
        <v>24714391</v>
      </c>
      <c r="U580">
        <v>10.28</v>
      </c>
      <c r="V580">
        <v>8.6199999999999992</v>
      </c>
      <c r="W580">
        <v>3797</v>
      </c>
      <c r="X580">
        <v>3.75</v>
      </c>
      <c r="Y580">
        <v>34.14</v>
      </c>
    </row>
    <row r="581" spans="1:25" x14ac:dyDescent="0.3">
      <c r="A581" t="s">
        <v>27</v>
      </c>
      <c r="B581" t="s">
        <v>36</v>
      </c>
      <c r="C581" t="s">
        <v>41</v>
      </c>
      <c r="D581" s="1">
        <v>44776</v>
      </c>
      <c r="E581">
        <v>30500601</v>
      </c>
      <c r="F581">
        <v>11813</v>
      </c>
      <c r="G581">
        <v>40.5</v>
      </c>
      <c r="H581">
        <v>19830</v>
      </c>
      <c r="I581">
        <v>992457</v>
      </c>
      <c r="J581">
        <v>25995</v>
      </c>
      <c r="K581">
        <v>16875</v>
      </c>
      <c r="L581">
        <v>1071</v>
      </c>
      <c r="M581">
        <v>58531</v>
      </c>
      <c r="N581">
        <v>415913</v>
      </c>
      <c r="O581">
        <v>3280</v>
      </c>
      <c r="P581">
        <v>1113104</v>
      </c>
      <c r="Q581">
        <v>8.9</v>
      </c>
      <c r="R581">
        <v>24532947</v>
      </c>
      <c r="S581">
        <v>32296376</v>
      </c>
      <c r="T581">
        <v>5240888</v>
      </c>
      <c r="U581">
        <v>7.75</v>
      </c>
      <c r="V581">
        <v>9.42</v>
      </c>
      <c r="W581">
        <v>4138</v>
      </c>
      <c r="X581">
        <v>3.2</v>
      </c>
      <c r="Y581">
        <v>99.04</v>
      </c>
    </row>
    <row r="582" spans="1:25" x14ac:dyDescent="0.3">
      <c r="A582" t="s">
        <v>26</v>
      </c>
      <c r="B582" t="s">
        <v>34</v>
      </c>
      <c r="C582" t="s">
        <v>40</v>
      </c>
      <c r="D582" s="1">
        <v>44777</v>
      </c>
      <c r="E582">
        <v>46045655</v>
      </c>
      <c r="F582">
        <v>11668</v>
      </c>
      <c r="G582">
        <v>28.6</v>
      </c>
      <c r="H582">
        <v>56044</v>
      </c>
      <c r="I582">
        <v>931866</v>
      </c>
      <c r="J582">
        <v>5409</v>
      </c>
      <c r="K582">
        <v>37065</v>
      </c>
      <c r="L582">
        <v>694</v>
      </c>
      <c r="M582">
        <v>870059</v>
      </c>
      <c r="N582">
        <v>460755</v>
      </c>
      <c r="O582">
        <v>2212</v>
      </c>
      <c r="P582">
        <v>1673675</v>
      </c>
      <c r="Q582">
        <v>17.54</v>
      </c>
      <c r="R582">
        <v>4745150</v>
      </c>
      <c r="S582">
        <v>15700732</v>
      </c>
      <c r="T582">
        <v>2654589</v>
      </c>
      <c r="U582">
        <v>59.33</v>
      </c>
      <c r="V582">
        <v>6.01</v>
      </c>
      <c r="W582">
        <v>1943</v>
      </c>
      <c r="X582">
        <v>3.43</v>
      </c>
      <c r="Y582">
        <v>25.26</v>
      </c>
    </row>
    <row r="583" spans="1:25" x14ac:dyDescent="0.3">
      <c r="A583" t="s">
        <v>29</v>
      </c>
      <c r="B583" t="s">
        <v>36</v>
      </c>
      <c r="C583" t="s">
        <v>38</v>
      </c>
      <c r="D583" s="1">
        <v>44778</v>
      </c>
      <c r="E583">
        <v>34805950</v>
      </c>
      <c r="F583">
        <v>8285</v>
      </c>
      <c r="G583">
        <v>39.6</v>
      </c>
      <c r="H583">
        <v>38045</v>
      </c>
      <c r="I583">
        <v>985249</v>
      </c>
      <c r="J583">
        <v>42438</v>
      </c>
      <c r="K583">
        <v>27223</v>
      </c>
      <c r="L583">
        <v>586</v>
      </c>
      <c r="M583">
        <v>354898</v>
      </c>
      <c r="N583">
        <v>14651</v>
      </c>
      <c r="O583">
        <v>8078</v>
      </c>
      <c r="P583">
        <v>509907</v>
      </c>
      <c r="Q583">
        <v>12.63</v>
      </c>
      <c r="R583">
        <v>42510516</v>
      </c>
      <c r="S583">
        <v>32304370</v>
      </c>
      <c r="T583">
        <v>20121397</v>
      </c>
      <c r="U583">
        <v>18.93</v>
      </c>
      <c r="V583">
        <v>2.76</v>
      </c>
      <c r="W583">
        <v>1335</v>
      </c>
      <c r="X583">
        <v>4.05</v>
      </c>
      <c r="Y583">
        <v>47.15</v>
      </c>
    </row>
    <row r="584" spans="1:25" x14ac:dyDescent="0.3">
      <c r="A584" t="s">
        <v>29</v>
      </c>
      <c r="B584" t="s">
        <v>35</v>
      </c>
      <c r="C584" t="s">
        <v>38</v>
      </c>
      <c r="D584" s="1">
        <v>44779</v>
      </c>
      <c r="E584">
        <v>17790529</v>
      </c>
      <c r="F584">
        <v>2668</v>
      </c>
      <c r="G584">
        <v>30.7</v>
      </c>
      <c r="H584">
        <v>27627</v>
      </c>
      <c r="I584">
        <v>956425</v>
      </c>
      <c r="J584">
        <v>44874</v>
      </c>
      <c r="K584">
        <v>4487</v>
      </c>
      <c r="L584">
        <v>720</v>
      </c>
      <c r="M584">
        <v>593020</v>
      </c>
      <c r="N584">
        <v>355531</v>
      </c>
      <c r="O584">
        <v>9734</v>
      </c>
      <c r="P584">
        <v>1334507</v>
      </c>
      <c r="Q584">
        <v>29.08</v>
      </c>
      <c r="R584">
        <v>48902868</v>
      </c>
      <c r="S584">
        <v>2602807</v>
      </c>
      <c r="T584">
        <v>7632034</v>
      </c>
      <c r="U584">
        <v>36.119999999999997</v>
      </c>
      <c r="V584">
        <v>4.29</v>
      </c>
      <c r="W584">
        <v>584</v>
      </c>
      <c r="X584">
        <v>3.35</v>
      </c>
      <c r="Y584">
        <v>35.39</v>
      </c>
    </row>
    <row r="585" spans="1:25" x14ac:dyDescent="0.3">
      <c r="A585" t="s">
        <v>27</v>
      </c>
      <c r="B585" t="s">
        <v>34</v>
      </c>
      <c r="C585" t="s">
        <v>40</v>
      </c>
      <c r="D585" s="1">
        <v>44780</v>
      </c>
      <c r="E585">
        <v>46374626</v>
      </c>
      <c r="F585">
        <v>3213</v>
      </c>
      <c r="G585">
        <v>42.2</v>
      </c>
      <c r="H585">
        <v>16198</v>
      </c>
      <c r="I585">
        <v>988938</v>
      </c>
      <c r="J585">
        <v>44702</v>
      </c>
      <c r="K585">
        <v>6543</v>
      </c>
      <c r="L585">
        <v>1206</v>
      </c>
      <c r="M585">
        <v>667872</v>
      </c>
      <c r="N585">
        <v>286522</v>
      </c>
      <c r="O585">
        <v>7601</v>
      </c>
      <c r="P585">
        <v>933280</v>
      </c>
      <c r="Q585">
        <v>1.68</v>
      </c>
      <c r="R585">
        <v>27820500</v>
      </c>
      <c r="S585">
        <v>17007315</v>
      </c>
      <c r="T585">
        <v>22065426</v>
      </c>
      <c r="U585">
        <v>86.2</v>
      </c>
      <c r="V585">
        <v>7.7</v>
      </c>
      <c r="W585">
        <v>3497</v>
      </c>
      <c r="X585">
        <v>1.71</v>
      </c>
      <c r="Y585">
        <v>35.58</v>
      </c>
    </row>
    <row r="586" spans="1:25" x14ac:dyDescent="0.3">
      <c r="A586" t="s">
        <v>25</v>
      </c>
      <c r="B586" t="s">
        <v>35</v>
      </c>
      <c r="C586" t="s">
        <v>40</v>
      </c>
      <c r="D586" s="1">
        <v>44781</v>
      </c>
      <c r="E586">
        <v>28880039</v>
      </c>
      <c r="F586">
        <v>2992</v>
      </c>
      <c r="G586">
        <v>32.5</v>
      </c>
      <c r="H586">
        <v>30475</v>
      </c>
      <c r="I586">
        <v>784077</v>
      </c>
      <c r="J586">
        <v>29823</v>
      </c>
      <c r="K586">
        <v>49405</v>
      </c>
      <c r="L586">
        <v>1458</v>
      </c>
      <c r="M586">
        <v>342868</v>
      </c>
      <c r="N586">
        <v>484505</v>
      </c>
      <c r="O586">
        <v>613</v>
      </c>
      <c r="P586">
        <v>378757</v>
      </c>
      <c r="Q586">
        <v>17.739999999999998</v>
      </c>
      <c r="R586">
        <v>35962130</v>
      </c>
      <c r="S586">
        <v>33452833</v>
      </c>
      <c r="T586">
        <v>28288694</v>
      </c>
      <c r="U586">
        <v>42.43</v>
      </c>
      <c r="V586">
        <v>6.68</v>
      </c>
      <c r="W586">
        <v>1429</v>
      </c>
      <c r="X586">
        <v>1.94</v>
      </c>
      <c r="Y586">
        <v>84.23</v>
      </c>
    </row>
    <row r="587" spans="1:25" x14ac:dyDescent="0.3">
      <c r="A587" t="s">
        <v>26</v>
      </c>
      <c r="B587" t="s">
        <v>32</v>
      </c>
      <c r="C587" t="s">
        <v>40</v>
      </c>
      <c r="D587" s="1">
        <v>44782</v>
      </c>
      <c r="E587">
        <v>48883190</v>
      </c>
      <c r="F587">
        <v>1975</v>
      </c>
      <c r="G587">
        <v>31.2</v>
      </c>
      <c r="H587">
        <v>20403</v>
      </c>
      <c r="I587">
        <v>937066</v>
      </c>
      <c r="J587">
        <v>7869</v>
      </c>
      <c r="K587">
        <v>23406</v>
      </c>
      <c r="L587">
        <v>106</v>
      </c>
      <c r="M587">
        <v>417173</v>
      </c>
      <c r="N587">
        <v>15241</v>
      </c>
      <c r="O587">
        <v>868</v>
      </c>
      <c r="P587">
        <v>1013567</v>
      </c>
      <c r="Q587">
        <v>25.75</v>
      </c>
      <c r="R587">
        <v>23425283</v>
      </c>
      <c r="S587">
        <v>918241</v>
      </c>
      <c r="T587">
        <v>1827916</v>
      </c>
      <c r="U587">
        <v>91.57</v>
      </c>
      <c r="V587">
        <v>2.19</v>
      </c>
      <c r="W587">
        <v>695</v>
      </c>
      <c r="X587">
        <v>4.5</v>
      </c>
      <c r="Y587">
        <v>74.64</v>
      </c>
    </row>
    <row r="588" spans="1:25" x14ac:dyDescent="0.3">
      <c r="A588" t="s">
        <v>31</v>
      </c>
      <c r="B588" t="s">
        <v>34</v>
      </c>
      <c r="C588" t="s">
        <v>37</v>
      </c>
      <c r="D588" s="1">
        <v>44783</v>
      </c>
      <c r="E588">
        <v>32081133</v>
      </c>
      <c r="F588">
        <v>3022</v>
      </c>
      <c r="G588">
        <v>47.9</v>
      </c>
      <c r="H588">
        <v>4681</v>
      </c>
      <c r="I588">
        <v>983014</v>
      </c>
      <c r="J588">
        <v>35724</v>
      </c>
      <c r="K588">
        <v>12765</v>
      </c>
      <c r="L588">
        <v>1211</v>
      </c>
      <c r="M588">
        <v>464288</v>
      </c>
      <c r="N588">
        <v>330157</v>
      </c>
      <c r="O588">
        <v>811</v>
      </c>
      <c r="P588">
        <v>713787</v>
      </c>
      <c r="Q588">
        <v>14.42</v>
      </c>
      <c r="R588">
        <v>37911884</v>
      </c>
      <c r="S588">
        <v>39678709</v>
      </c>
      <c r="T588">
        <v>714564</v>
      </c>
      <c r="U588">
        <v>49.79</v>
      </c>
      <c r="V588">
        <v>0.99</v>
      </c>
      <c r="W588">
        <v>73</v>
      </c>
      <c r="X588">
        <v>0.18</v>
      </c>
      <c r="Y588">
        <v>99.22</v>
      </c>
    </row>
    <row r="589" spans="1:25" x14ac:dyDescent="0.3">
      <c r="A589" t="s">
        <v>30</v>
      </c>
      <c r="B589" t="s">
        <v>35</v>
      </c>
      <c r="C589" t="s">
        <v>37</v>
      </c>
      <c r="D589" s="1">
        <v>44784</v>
      </c>
      <c r="E589">
        <v>2832214</v>
      </c>
      <c r="F589">
        <v>11755</v>
      </c>
      <c r="G589">
        <v>26</v>
      </c>
      <c r="H589">
        <v>43292</v>
      </c>
      <c r="I589">
        <v>656337</v>
      </c>
      <c r="J589">
        <v>22401</v>
      </c>
      <c r="K589">
        <v>875</v>
      </c>
      <c r="L589">
        <v>775</v>
      </c>
      <c r="M589">
        <v>761291</v>
      </c>
      <c r="N589">
        <v>295859</v>
      </c>
      <c r="O589">
        <v>4862</v>
      </c>
      <c r="P589">
        <v>1834005</v>
      </c>
      <c r="Q589">
        <v>0.09</v>
      </c>
      <c r="R589">
        <v>16893043</v>
      </c>
      <c r="S589">
        <v>33486641</v>
      </c>
      <c r="T589">
        <v>7694379</v>
      </c>
      <c r="U589">
        <v>39.880000000000003</v>
      </c>
      <c r="V589">
        <v>6.99</v>
      </c>
      <c r="W589">
        <v>4702</v>
      </c>
      <c r="X589">
        <v>3.52</v>
      </c>
      <c r="Y589">
        <v>61.35</v>
      </c>
    </row>
    <row r="590" spans="1:25" x14ac:dyDescent="0.3">
      <c r="A590" t="s">
        <v>30</v>
      </c>
      <c r="B590" t="s">
        <v>32</v>
      </c>
      <c r="C590" t="s">
        <v>37</v>
      </c>
      <c r="D590" s="1">
        <v>44785</v>
      </c>
      <c r="E590">
        <v>27996053</v>
      </c>
      <c r="F590">
        <v>10690</v>
      </c>
      <c r="G590">
        <v>21.9</v>
      </c>
      <c r="H590">
        <v>6629</v>
      </c>
      <c r="I590">
        <v>863839</v>
      </c>
      <c r="J590">
        <v>25958</v>
      </c>
      <c r="K590">
        <v>11183</v>
      </c>
      <c r="L590">
        <v>1109</v>
      </c>
      <c r="M590">
        <v>816892</v>
      </c>
      <c r="N590">
        <v>122158</v>
      </c>
      <c r="O590">
        <v>4177</v>
      </c>
      <c r="P590">
        <v>1154463</v>
      </c>
      <c r="Q590">
        <v>7.28</v>
      </c>
      <c r="R590">
        <v>16197020</v>
      </c>
      <c r="S590">
        <v>9686424</v>
      </c>
      <c r="T590">
        <v>29495829</v>
      </c>
      <c r="U590">
        <v>75.040000000000006</v>
      </c>
      <c r="V590">
        <v>2.89</v>
      </c>
      <c r="W590">
        <v>4501</v>
      </c>
      <c r="X590">
        <v>4.78</v>
      </c>
      <c r="Y590">
        <v>46.33</v>
      </c>
    </row>
    <row r="591" spans="1:25" x14ac:dyDescent="0.3">
      <c r="A591" t="s">
        <v>27</v>
      </c>
      <c r="B591" t="s">
        <v>36</v>
      </c>
      <c r="C591" t="s">
        <v>39</v>
      </c>
      <c r="D591" s="1">
        <v>44786</v>
      </c>
      <c r="E591">
        <v>39136252</v>
      </c>
      <c r="F591">
        <v>11016</v>
      </c>
      <c r="G591">
        <v>36.700000000000003</v>
      </c>
      <c r="H591">
        <v>9417</v>
      </c>
      <c r="I591">
        <v>795042</v>
      </c>
      <c r="J591">
        <v>10766</v>
      </c>
      <c r="K591">
        <v>38107</v>
      </c>
      <c r="L591">
        <v>1859</v>
      </c>
      <c r="M591">
        <v>88195</v>
      </c>
      <c r="N591">
        <v>193923</v>
      </c>
      <c r="O591">
        <v>1744</v>
      </c>
      <c r="P591">
        <v>1110662</v>
      </c>
      <c r="Q591">
        <v>9.7100000000000009</v>
      </c>
      <c r="R591">
        <v>22618648</v>
      </c>
      <c r="S591">
        <v>6979736</v>
      </c>
      <c r="T591">
        <v>10491464</v>
      </c>
      <c r="U591">
        <v>7.32</v>
      </c>
      <c r="V591">
        <v>5.25</v>
      </c>
      <c r="W591">
        <v>4720</v>
      </c>
      <c r="X591">
        <v>3.56</v>
      </c>
      <c r="Y591">
        <v>9.01</v>
      </c>
    </row>
    <row r="592" spans="1:25" x14ac:dyDescent="0.3">
      <c r="A592" t="s">
        <v>25</v>
      </c>
      <c r="B592" t="s">
        <v>32</v>
      </c>
      <c r="C592" t="s">
        <v>38</v>
      </c>
      <c r="D592" s="1">
        <v>44787</v>
      </c>
      <c r="E592">
        <v>22543878</v>
      </c>
      <c r="F592">
        <v>17424</v>
      </c>
      <c r="G592">
        <v>49</v>
      </c>
      <c r="H592">
        <v>35765</v>
      </c>
      <c r="I592">
        <v>634669</v>
      </c>
      <c r="J592">
        <v>19768</v>
      </c>
      <c r="K592">
        <v>33381</v>
      </c>
      <c r="L592">
        <v>1866</v>
      </c>
      <c r="M592">
        <v>130566</v>
      </c>
      <c r="N592">
        <v>112784</v>
      </c>
      <c r="O592">
        <v>2256</v>
      </c>
      <c r="P592">
        <v>889663</v>
      </c>
      <c r="Q592">
        <v>28.98</v>
      </c>
      <c r="R592">
        <v>46941111</v>
      </c>
      <c r="S592">
        <v>37922189</v>
      </c>
      <c r="T592">
        <v>9570032</v>
      </c>
      <c r="U592">
        <v>8.9499999999999993</v>
      </c>
      <c r="V592">
        <v>7.59</v>
      </c>
      <c r="W592">
        <v>4174</v>
      </c>
      <c r="X592">
        <v>4.97</v>
      </c>
      <c r="Y592">
        <v>99.66</v>
      </c>
    </row>
    <row r="593" spans="1:25" x14ac:dyDescent="0.3">
      <c r="A593" t="s">
        <v>29</v>
      </c>
      <c r="B593" t="s">
        <v>33</v>
      </c>
      <c r="C593" t="s">
        <v>38</v>
      </c>
      <c r="D593" s="1">
        <v>44788</v>
      </c>
      <c r="E593">
        <v>33515348</v>
      </c>
      <c r="F593">
        <v>11188</v>
      </c>
      <c r="G593">
        <v>30.1</v>
      </c>
      <c r="H593">
        <v>57574</v>
      </c>
      <c r="I593">
        <v>487134</v>
      </c>
      <c r="J593">
        <v>30794</v>
      </c>
      <c r="K593">
        <v>38534</v>
      </c>
      <c r="L593">
        <v>1479</v>
      </c>
      <c r="M593">
        <v>139482</v>
      </c>
      <c r="N593">
        <v>289696</v>
      </c>
      <c r="O593">
        <v>7612</v>
      </c>
      <c r="P593">
        <v>1305070</v>
      </c>
      <c r="Q593">
        <v>27.35</v>
      </c>
      <c r="R593">
        <v>31186764</v>
      </c>
      <c r="S593">
        <v>3927526</v>
      </c>
      <c r="T593">
        <v>3334055</v>
      </c>
      <c r="U593">
        <v>65.2</v>
      </c>
      <c r="V593">
        <v>5.85</v>
      </c>
      <c r="W593">
        <v>414</v>
      </c>
      <c r="X593">
        <v>3.47</v>
      </c>
      <c r="Y593">
        <v>55.15</v>
      </c>
    </row>
    <row r="594" spans="1:25" x14ac:dyDescent="0.3">
      <c r="A594" t="s">
        <v>29</v>
      </c>
      <c r="B594" t="s">
        <v>32</v>
      </c>
      <c r="C594" t="s">
        <v>41</v>
      </c>
      <c r="D594" s="1">
        <v>44789</v>
      </c>
      <c r="E594">
        <v>31763040</v>
      </c>
      <c r="F594">
        <v>18246</v>
      </c>
      <c r="G594">
        <v>20</v>
      </c>
      <c r="H594">
        <v>28675</v>
      </c>
      <c r="I594">
        <v>16791</v>
      </c>
      <c r="J594">
        <v>26145</v>
      </c>
      <c r="K594">
        <v>11264</v>
      </c>
      <c r="L594">
        <v>1160</v>
      </c>
      <c r="M594">
        <v>265337</v>
      </c>
      <c r="N594">
        <v>416041</v>
      </c>
      <c r="O594">
        <v>8713</v>
      </c>
      <c r="P594">
        <v>509889</v>
      </c>
      <c r="Q594">
        <v>28.48</v>
      </c>
      <c r="R594">
        <v>48802557</v>
      </c>
      <c r="S594">
        <v>39442635</v>
      </c>
      <c r="T594">
        <v>17939324</v>
      </c>
      <c r="U594">
        <v>48.69</v>
      </c>
      <c r="V594">
        <v>1.29</v>
      </c>
      <c r="W594">
        <v>2705</v>
      </c>
      <c r="X594">
        <v>0.27</v>
      </c>
      <c r="Y594">
        <v>70.05</v>
      </c>
    </row>
    <row r="595" spans="1:25" x14ac:dyDescent="0.3">
      <c r="A595" t="s">
        <v>30</v>
      </c>
      <c r="B595" t="s">
        <v>32</v>
      </c>
      <c r="C595" t="s">
        <v>37</v>
      </c>
      <c r="D595" s="1">
        <v>44790</v>
      </c>
      <c r="E595">
        <v>9542832</v>
      </c>
      <c r="F595">
        <v>15985</v>
      </c>
      <c r="G595">
        <v>28.9</v>
      </c>
      <c r="H595">
        <v>41563</v>
      </c>
      <c r="I595">
        <v>59047</v>
      </c>
      <c r="J595">
        <v>10086</v>
      </c>
      <c r="K595">
        <v>4028</v>
      </c>
      <c r="L595">
        <v>1881</v>
      </c>
      <c r="M595">
        <v>640101</v>
      </c>
      <c r="N595">
        <v>50491</v>
      </c>
      <c r="O595">
        <v>7196</v>
      </c>
      <c r="P595">
        <v>1637172</v>
      </c>
      <c r="Q595">
        <v>24.77</v>
      </c>
      <c r="R595">
        <v>23776190</v>
      </c>
      <c r="S595">
        <v>9809153</v>
      </c>
      <c r="T595">
        <v>424452</v>
      </c>
      <c r="U595">
        <v>79.040000000000006</v>
      </c>
      <c r="V595">
        <v>2.2599999999999998</v>
      </c>
      <c r="W595">
        <v>458</v>
      </c>
      <c r="X595">
        <v>4.1500000000000004</v>
      </c>
      <c r="Y595">
        <v>40.67</v>
      </c>
    </row>
    <row r="596" spans="1:25" x14ac:dyDescent="0.3">
      <c r="A596" t="s">
        <v>27</v>
      </c>
      <c r="B596" t="s">
        <v>33</v>
      </c>
      <c r="C596" t="s">
        <v>39</v>
      </c>
      <c r="D596" s="1">
        <v>44791</v>
      </c>
      <c r="E596">
        <v>2750397</v>
      </c>
      <c r="F596">
        <v>13195</v>
      </c>
      <c r="G596">
        <v>34.200000000000003</v>
      </c>
      <c r="H596">
        <v>12332</v>
      </c>
      <c r="I596">
        <v>495064</v>
      </c>
      <c r="J596">
        <v>43203</v>
      </c>
      <c r="K596">
        <v>5202</v>
      </c>
      <c r="L596">
        <v>897</v>
      </c>
      <c r="M596">
        <v>553598</v>
      </c>
      <c r="N596">
        <v>120388</v>
      </c>
      <c r="O596">
        <v>5423</v>
      </c>
      <c r="P596">
        <v>278941</v>
      </c>
      <c r="Q596">
        <v>10.55</v>
      </c>
      <c r="R596">
        <v>42233754</v>
      </c>
      <c r="S596">
        <v>3261365</v>
      </c>
      <c r="T596">
        <v>23135452</v>
      </c>
      <c r="U596">
        <v>91.63</v>
      </c>
      <c r="V596">
        <v>2.58</v>
      </c>
      <c r="W596">
        <v>1364</v>
      </c>
      <c r="X596">
        <v>1.49</v>
      </c>
      <c r="Y596">
        <v>54.77</v>
      </c>
    </row>
    <row r="597" spans="1:25" x14ac:dyDescent="0.3">
      <c r="A597" t="s">
        <v>26</v>
      </c>
      <c r="B597" t="s">
        <v>35</v>
      </c>
      <c r="C597" t="s">
        <v>39</v>
      </c>
      <c r="D597" s="1">
        <v>44792</v>
      </c>
      <c r="E597">
        <v>44442324</v>
      </c>
      <c r="F597">
        <v>539</v>
      </c>
      <c r="G597">
        <v>23.2</v>
      </c>
      <c r="H597">
        <v>20177</v>
      </c>
      <c r="I597">
        <v>235898</v>
      </c>
      <c r="J597">
        <v>26442</v>
      </c>
      <c r="K597">
        <v>2025</v>
      </c>
      <c r="L597">
        <v>335</v>
      </c>
      <c r="M597">
        <v>544880</v>
      </c>
      <c r="N597">
        <v>206232</v>
      </c>
      <c r="O597">
        <v>5089</v>
      </c>
      <c r="P597">
        <v>1317022</v>
      </c>
      <c r="Q597">
        <v>27.18</v>
      </c>
      <c r="R597">
        <v>12670907</v>
      </c>
      <c r="S597">
        <v>26150237</v>
      </c>
      <c r="T597">
        <v>19793205</v>
      </c>
      <c r="U597">
        <v>38.840000000000003</v>
      </c>
      <c r="V597">
        <v>2.95</v>
      </c>
      <c r="W597">
        <v>268</v>
      </c>
      <c r="X597">
        <v>2.29</v>
      </c>
      <c r="Y597">
        <v>94.26</v>
      </c>
    </row>
    <row r="598" spans="1:25" x14ac:dyDescent="0.3">
      <c r="A598" t="s">
        <v>29</v>
      </c>
      <c r="B598" t="s">
        <v>35</v>
      </c>
      <c r="C598" t="s">
        <v>38</v>
      </c>
      <c r="D598" s="1">
        <v>44793</v>
      </c>
      <c r="E598">
        <v>10890284</v>
      </c>
      <c r="F598">
        <v>11798</v>
      </c>
      <c r="G598">
        <v>39.1</v>
      </c>
      <c r="H598">
        <v>69447</v>
      </c>
      <c r="I598">
        <v>462122</v>
      </c>
      <c r="J598">
        <v>16412</v>
      </c>
      <c r="K598">
        <v>42628</v>
      </c>
      <c r="L598">
        <v>606</v>
      </c>
      <c r="M598">
        <v>482495</v>
      </c>
      <c r="N598">
        <v>113635</v>
      </c>
      <c r="O598">
        <v>6608</v>
      </c>
      <c r="P598">
        <v>457388</v>
      </c>
      <c r="Q598">
        <v>29.45</v>
      </c>
      <c r="R598">
        <v>2137810</v>
      </c>
      <c r="S598">
        <v>39319534</v>
      </c>
      <c r="T598">
        <v>5443157</v>
      </c>
      <c r="U598">
        <v>59.64</v>
      </c>
      <c r="V598">
        <v>5.87</v>
      </c>
      <c r="W598">
        <v>4753</v>
      </c>
      <c r="X598">
        <v>1.63</v>
      </c>
      <c r="Y598">
        <v>16.64</v>
      </c>
    </row>
    <row r="599" spans="1:25" x14ac:dyDescent="0.3">
      <c r="A599" t="s">
        <v>26</v>
      </c>
      <c r="B599" t="s">
        <v>32</v>
      </c>
      <c r="C599" t="s">
        <v>37</v>
      </c>
      <c r="D599" s="1">
        <v>44794</v>
      </c>
      <c r="E599">
        <v>42346292</v>
      </c>
      <c r="F599">
        <v>19325</v>
      </c>
      <c r="G599">
        <v>49.9</v>
      </c>
      <c r="H599">
        <v>58104</v>
      </c>
      <c r="I599">
        <v>676025</v>
      </c>
      <c r="J599">
        <v>25596</v>
      </c>
      <c r="K599">
        <v>3390</v>
      </c>
      <c r="L599">
        <v>837</v>
      </c>
      <c r="M599">
        <v>582893</v>
      </c>
      <c r="N599">
        <v>142870</v>
      </c>
      <c r="O599">
        <v>9717</v>
      </c>
      <c r="P599">
        <v>563347</v>
      </c>
      <c r="Q599">
        <v>10.5</v>
      </c>
      <c r="R599">
        <v>45471552</v>
      </c>
      <c r="S599">
        <v>14705596</v>
      </c>
      <c r="T599">
        <v>23512834</v>
      </c>
      <c r="U599">
        <v>50.07</v>
      </c>
      <c r="V599">
        <v>5.29</v>
      </c>
      <c r="W599">
        <v>1589</v>
      </c>
      <c r="X599">
        <v>1.42</v>
      </c>
      <c r="Y599">
        <v>29.24</v>
      </c>
    </row>
    <row r="600" spans="1:25" x14ac:dyDescent="0.3">
      <c r="A600" t="s">
        <v>25</v>
      </c>
      <c r="B600" t="s">
        <v>33</v>
      </c>
      <c r="C600" t="s">
        <v>41</v>
      </c>
      <c r="D600" s="1">
        <v>44795</v>
      </c>
      <c r="E600">
        <v>49905330</v>
      </c>
      <c r="F600">
        <v>3566</v>
      </c>
      <c r="G600">
        <v>32.5</v>
      </c>
      <c r="H600">
        <v>5951</v>
      </c>
      <c r="I600">
        <v>71246</v>
      </c>
      <c r="J600">
        <v>10255</v>
      </c>
      <c r="K600">
        <v>28353</v>
      </c>
      <c r="L600">
        <v>1780</v>
      </c>
      <c r="M600">
        <v>686365</v>
      </c>
      <c r="N600">
        <v>240047</v>
      </c>
      <c r="O600">
        <v>1469</v>
      </c>
      <c r="P600">
        <v>132980</v>
      </c>
      <c r="Q600">
        <v>7.82</v>
      </c>
      <c r="R600">
        <v>2417490</v>
      </c>
      <c r="S600">
        <v>2205349</v>
      </c>
      <c r="T600">
        <v>15973595</v>
      </c>
      <c r="U600">
        <v>98.16</v>
      </c>
      <c r="V600">
        <v>2.4300000000000002</v>
      </c>
      <c r="W600">
        <v>3483</v>
      </c>
      <c r="X600">
        <v>2.21</v>
      </c>
      <c r="Y600">
        <v>15.21</v>
      </c>
    </row>
    <row r="601" spans="1:25" x14ac:dyDescent="0.3">
      <c r="A601" t="s">
        <v>29</v>
      </c>
      <c r="B601" t="s">
        <v>33</v>
      </c>
      <c r="C601" t="s">
        <v>37</v>
      </c>
      <c r="D601" s="1">
        <v>44796</v>
      </c>
      <c r="E601">
        <v>42897458</v>
      </c>
      <c r="F601">
        <v>19774</v>
      </c>
      <c r="G601">
        <v>29.4</v>
      </c>
      <c r="H601">
        <v>29333</v>
      </c>
      <c r="I601">
        <v>197936</v>
      </c>
      <c r="J601">
        <v>42406</v>
      </c>
      <c r="K601">
        <v>3780</v>
      </c>
      <c r="L601">
        <v>1492</v>
      </c>
      <c r="M601">
        <v>204800</v>
      </c>
      <c r="N601">
        <v>86811</v>
      </c>
      <c r="O601">
        <v>2675</v>
      </c>
      <c r="P601">
        <v>1765188</v>
      </c>
      <c r="Q601">
        <v>16.41</v>
      </c>
      <c r="R601">
        <v>43190195</v>
      </c>
      <c r="S601">
        <v>8448893</v>
      </c>
      <c r="T601">
        <v>7657509</v>
      </c>
      <c r="U601">
        <v>83.11</v>
      </c>
      <c r="V601">
        <v>1.1399999999999999</v>
      </c>
      <c r="W601">
        <v>1652</v>
      </c>
      <c r="X601">
        <v>1.96</v>
      </c>
      <c r="Y601">
        <v>79.22</v>
      </c>
    </row>
    <row r="602" spans="1:25" x14ac:dyDescent="0.3">
      <c r="A602" t="s">
        <v>29</v>
      </c>
      <c r="B602" t="s">
        <v>36</v>
      </c>
      <c r="C602" t="s">
        <v>40</v>
      </c>
      <c r="D602" s="1">
        <v>44797</v>
      </c>
      <c r="E602">
        <v>31391320</v>
      </c>
      <c r="F602">
        <v>6460</v>
      </c>
      <c r="G602">
        <v>30.8</v>
      </c>
      <c r="H602">
        <v>22673</v>
      </c>
      <c r="I602">
        <v>964955</v>
      </c>
      <c r="J602">
        <v>40524</v>
      </c>
      <c r="K602">
        <v>5839</v>
      </c>
      <c r="L602">
        <v>601</v>
      </c>
      <c r="M602">
        <v>291199</v>
      </c>
      <c r="N602">
        <v>340094</v>
      </c>
      <c r="O602">
        <v>1513</v>
      </c>
      <c r="P602">
        <v>1523451</v>
      </c>
      <c r="Q602">
        <v>5.61</v>
      </c>
      <c r="R602">
        <v>6665472</v>
      </c>
      <c r="S602">
        <v>19679666</v>
      </c>
      <c r="T602">
        <v>9071245</v>
      </c>
      <c r="U602">
        <v>91.17</v>
      </c>
      <c r="V602">
        <v>2.13</v>
      </c>
      <c r="W602">
        <v>2754</v>
      </c>
      <c r="X602">
        <v>3.2</v>
      </c>
      <c r="Y602">
        <v>6.2</v>
      </c>
    </row>
    <row r="603" spans="1:25" x14ac:dyDescent="0.3">
      <c r="A603" t="s">
        <v>28</v>
      </c>
      <c r="B603" t="s">
        <v>35</v>
      </c>
      <c r="C603" t="s">
        <v>37</v>
      </c>
      <c r="D603" s="1">
        <v>44798</v>
      </c>
      <c r="E603">
        <v>41780792</v>
      </c>
      <c r="F603">
        <v>103</v>
      </c>
      <c r="G603">
        <v>21.7</v>
      </c>
      <c r="H603">
        <v>41870</v>
      </c>
      <c r="I603">
        <v>235955</v>
      </c>
      <c r="J603">
        <v>23332</v>
      </c>
      <c r="K603">
        <v>34391</v>
      </c>
      <c r="L603">
        <v>1594</v>
      </c>
      <c r="M603">
        <v>596722</v>
      </c>
      <c r="N603">
        <v>371977</v>
      </c>
      <c r="O603">
        <v>4876</v>
      </c>
      <c r="P603">
        <v>144949</v>
      </c>
      <c r="Q603">
        <v>0.98</v>
      </c>
      <c r="R603">
        <v>30311591</v>
      </c>
      <c r="S603">
        <v>38020375</v>
      </c>
      <c r="T603">
        <v>24823214</v>
      </c>
      <c r="U603">
        <v>25.43</v>
      </c>
      <c r="V603">
        <v>9.85</v>
      </c>
      <c r="W603">
        <v>3698</v>
      </c>
      <c r="X603">
        <v>4.08</v>
      </c>
      <c r="Y603">
        <v>8.16</v>
      </c>
    </row>
    <row r="604" spans="1:25" x14ac:dyDescent="0.3">
      <c r="A604" t="s">
        <v>29</v>
      </c>
      <c r="B604" t="s">
        <v>34</v>
      </c>
      <c r="C604" t="s">
        <v>40</v>
      </c>
      <c r="D604" s="1">
        <v>44799</v>
      </c>
      <c r="E604">
        <v>1972542</v>
      </c>
      <c r="F604">
        <v>19009</v>
      </c>
      <c r="G604">
        <v>46.3</v>
      </c>
      <c r="H604">
        <v>23821</v>
      </c>
      <c r="I604">
        <v>349292</v>
      </c>
      <c r="J604">
        <v>44624</v>
      </c>
      <c r="K604">
        <v>45925</v>
      </c>
      <c r="L604">
        <v>402</v>
      </c>
      <c r="M604">
        <v>597576</v>
      </c>
      <c r="N604">
        <v>264609</v>
      </c>
      <c r="O604">
        <v>1451</v>
      </c>
      <c r="P604">
        <v>277383</v>
      </c>
      <c r="Q604">
        <v>28.37</v>
      </c>
      <c r="R604">
        <v>36097872</v>
      </c>
      <c r="S604">
        <v>22290077</v>
      </c>
      <c r="T604">
        <v>5900173</v>
      </c>
      <c r="U604">
        <v>77.25</v>
      </c>
      <c r="V604">
        <v>4.95</v>
      </c>
      <c r="W604">
        <v>1155</v>
      </c>
      <c r="X604">
        <v>1.56</v>
      </c>
      <c r="Y604">
        <v>29.85</v>
      </c>
    </row>
    <row r="605" spans="1:25" x14ac:dyDescent="0.3">
      <c r="A605" t="s">
        <v>31</v>
      </c>
      <c r="B605" t="s">
        <v>35</v>
      </c>
      <c r="C605" t="s">
        <v>40</v>
      </c>
      <c r="D605" s="1">
        <v>44800</v>
      </c>
      <c r="E605">
        <v>4973014</v>
      </c>
      <c r="F605">
        <v>17049</v>
      </c>
      <c r="G605">
        <v>31.3</v>
      </c>
      <c r="H605">
        <v>26494</v>
      </c>
      <c r="I605">
        <v>571178</v>
      </c>
      <c r="J605">
        <v>15764</v>
      </c>
      <c r="K605">
        <v>15555</v>
      </c>
      <c r="L605">
        <v>539</v>
      </c>
      <c r="M605">
        <v>864189</v>
      </c>
      <c r="N605">
        <v>228725</v>
      </c>
      <c r="O605">
        <v>4654</v>
      </c>
      <c r="P605">
        <v>1005475</v>
      </c>
      <c r="Q605">
        <v>27.77</v>
      </c>
      <c r="R605">
        <v>25866772</v>
      </c>
      <c r="S605">
        <v>20655012</v>
      </c>
      <c r="T605">
        <v>6980330</v>
      </c>
      <c r="U605">
        <v>26.55</v>
      </c>
      <c r="V605">
        <v>8.74</v>
      </c>
      <c r="W605">
        <v>3461</v>
      </c>
      <c r="X605">
        <v>1.1499999999999999</v>
      </c>
      <c r="Y605">
        <v>51.42</v>
      </c>
    </row>
    <row r="606" spans="1:25" x14ac:dyDescent="0.3">
      <c r="A606" t="s">
        <v>27</v>
      </c>
      <c r="B606" t="s">
        <v>35</v>
      </c>
      <c r="C606" t="s">
        <v>41</v>
      </c>
      <c r="D606" s="1">
        <v>44801</v>
      </c>
      <c r="E606">
        <v>13745462</v>
      </c>
      <c r="F606">
        <v>5994</v>
      </c>
      <c r="G606">
        <v>30.4</v>
      </c>
      <c r="H606">
        <v>1835</v>
      </c>
      <c r="I606">
        <v>401010</v>
      </c>
      <c r="J606">
        <v>27563</v>
      </c>
      <c r="K606">
        <v>18273</v>
      </c>
      <c r="L606">
        <v>1095</v>
      </c>
      <c r="M606">
        <v>804871</v>
      </c>
      <c r="N606">
        <v>359906</v>
      </c>
      <c r="O606">
        <v>3007</v>
      </c>
      <c r="P606">
        <v>28313</v>
      </c>
      <c r="Q606">
        <v>4.88</v>
      </c>
      <c r="R606">
        <v>24026709</v>
      </c>
      <c r="S606">
        <v>6179064</v>
      </c>
      <c r="T606">
        <v>4447434</v>
      </c>
      <c r="U606">
        <v>20.87</v>
      </c>
      <c r="V606">
        <v>8.56</v>
      </c>
      <c r="W606">
        <v>2538</v>
      </c>
      <c r="X606">
        <v>3.37</v>
      </c>
      <c r="Y606">
        <v>40.630000000000003</v>
      </c>
    </row>
    <row r="607" spans="1:25" x14ac:dyDescent="0.3">
      <c r="A607" t="s">
        <v>27</v>
      </c>
      <c r="B607" t="s">
        <v>36</v>
      </c>
      <c r="C607" t="s">
        <v>38</v>
      </c>
      <c r="D607" s="1">
        <v>44802</v>
      </c>
      <c r="E607">
        <v>32963391</v>
      </c>
      <c r="F607">
        <v>7454</v>
      </c>
      <c r="G607">
        <v>39.1</v>
      </c>
      <c r="H607">
        <v>19646</v>
      </c>
      <c r="I607">
        <v>558176</v>
      </c>
      <c r="J607">
        <v>22139</v>
      </c>
      <c r="K607">
        <v>38150</v>
      </c>
      <c r="L607">
        <v>1805</v>
      </c>
      <c r="M607">
        <v>405541</v>
      </c>
      <c r="N607">
        <v>43472</v>
      </c>
      <c r="O607">
        <v>3124</v>
      </c>
      <c r="P607">
        <v>1019394</v>
      </c>
      <c r="Q607">
        <v>12.23</v>
      </c>
      <c r="R607">
        <v>8235022</v>
      </c>
      <c r="S607">
        <v>514938</v>
      </c>
      <c r="T607">
        <v>19112776</v>
      </c>
      <c r="U607">
        <v>94.43</v>
      </c>
      <c r="V607">
        <v>5.36</v>
      </c>
      <c r="W607">
        <v>666</v>
      </c>
      <c r="X607">
        <v>3.38</v>
      </c>
      <c r="Y607">
        <v>4.4800000000000004</v>
      </c>
    </row>
    <row r="608" spans="1:25" x14ac:dyDescent="0.3">
      <c r="A608" t="s">
        <v>26</v>
      </c>
      <c r="B608" t="s">
        <v>34</v>
      </c>
      <c r="C608" t="s">
        <v>37</v>
      </c>
      <c r="D608" s="1">
        <v>44803</v>
      </c>
      <c r="E608">
        <v>4029801</v>
      </c>
      <c r="F608">
        <v>1004</v>
      </c>
      <c r="G608">
        <v>32.1</v>
      </c>
      <c r="H608">
        <v>38335</v>
      </c>
      <c r="I608">
        <v>138821</v>
      </c>
      <c r="J608">
        <v>36370</v>
      </c>
      <c r="K608">
        <v>43316</v>
      </c>
      <c r="L608">
        <v>23</v>
      </c>
      <c r="M608">
        <v>484503</v>
      </c>
      <c r="N608">
        <v>44234</v>
      </c>
      <c r="O608">
        <v>1753</v>
      </c>
      <c r="P608">
        <v>1091679</v>
      </c>
      <c r="Q608">
        <v>24.93</v>
      </c>
      <c r="R608">
        <v>49535025</v>
      </c>
      <c r="S608">
        <v>3070132</v>
      </c>
      <c r="T608">
        <v>25780005</v>
      </c>
      <c r="U608">
        <v>1.93</v>
      </c>
      <c r="V608">
        <v>7.21</v>
      </c>
      <c r="W608">
        <v>4371</v>
      </c>
      <c r="X608">
        <v>4.5199999999999996</v>
      </c>
      <c r="Y608">
        <v>95.75</v>
      </c>
    </row>
    <row r="609" spans="1:25" x14ac:dyDescent="0.3">
      <c r="A609" t="s">
        <v>25</v>
      </c>
      <c r="B609" t="s">
        <v>36</v>
      </c>
      <c r="C609" t="s">
        <v>40</v>
      </c>
      <c r="D609" s="1">
        <v>44804</v>
      </c>
      <c r="E609">
        <v>33742121</v>
      </c>
      <c r="F609">
        <v>10675</v>
      </c>
      <c r="G609">
        <v>38.700000000000003</v>
      </c>
      <c r="H609">
        <v>3429</v>
      </c>
      <c r="I609">
        <v>571819</v>
      </c>
      <c r="J609">
        <v>5062</v>
      </c>
      <c r="K609">
        <v>25685</v>
      </c>
      <c r="L609">
        <v>623</v>
      </c>
      <c r="M609">
        <v>496207</v>
      </c>
      <c r="N609">
        <v>300067</v>
      </c>
      <c r="O609">
        <v>1612</v>
      </c>
      <c r="P609">
        <v>180480</v>
      </c>
      <c r="Q609">
        <v>19.829999999999998</v>
      </c>
      <c r="R609">
        <v>41611567</v>
      </c>
      <c r="S609">
        <v>4453054</v>
      </c>
      <c r="T609">
        <v>10185151</v>
      </c>
      <c r="U609">
        <v>96.54</v>
      </c>
      <c r="V609">
        <v>2.33</v>
      </c>
      <c r="W609">
        <v>2468</v>
      </c>
      <c r="X609">
        <v>0.18</v>
      </c>
      <c r="Y609">
        <v>95.29</v>
      </c>
    </row>
    <row r="610" spans="1:25" x14ac:dyDescent="0.3">
      <c r="A610" t="s">
        <v>29</v>
      </c>
      <c r="B610" t="s">
        <v>34</v>
      </c>
      <c r="C610" t="s">
        <v>37</v>
      </c>
      <c r="D610" s="1">
        <v>44805</v>
      </c>
      <c r="E610">
        <v>38862595</v>
      </c>
      <c r="F610">
        <v>1679</v>
      </c>
      <c r="G610">
        <v>20</v>
      </c>
      <c r="H610">
        <v>42950</v>
      </c>
      <c r="I610">
        <v>903084</v>
      </c>
      <c r="J610">
        <v>44645</v>
      </c>
      <c r="K610">
        <v>25372</v>
      </c>
      <c r="L610">
        <v>1835</v>
      </c>
      <c r="M610">
        <v>155723</v>
      </c>
      <c r="N610">
        <v>71258</v>
      </c>
      <c r="O610">
        <v>3275</v>
      </c>
      <c r="P610">
        <v>1526043</v>
      </c>
      <c r="Q610">
        <v>11.84</v>
      </c>
      <c r="R610">
        <v>21115295</v>
      </c>
      <c r="S610">
        <v>19166858</v>
      </c>
      <c r="T610">
        <v>27063790</v>
      </c>
      <c r="U610">
        <v>14.93</v>
      </c>
      <c r="V610">
        <v>7.04</v>
      </c>
      <c r="W610">
        <v>77</v>
      </c>
      <c r="X610">
        <v>4.28</v>
      </c>
      <c r="Y610">
        <v>27.94</v>
      </c>
    </row>
    <row r="611" spans="1:25" x14ac:dyDescent="0.3">
      <c r="A611" t="s">
        <v>31</v>
      </c>
      <c r="B611" t="s">
        <v>32</v>
      </c>
      <c r="C611" t="s">
        <v>38</v>
      </c>
      <c r="D611" s="1">
        <v>44806</v>
      </c>
      <c r="E611">
        <v>33924949</v>
      </c>
      <c r="F611">
        <v>11023</v>
      </c>
      <c r="G611">
        <v>44</v>
      </c>
      <c r="H611">
        <v>61654</v>
      </c>
      <c r="I611">
        <v>808040</v>
      </c>
      <c r="J611">
        <v>7244</v>
      </c>
      <c r="K611">
        <v>158</v>
      </c>
      <c r="L611">
        <v>1508</v>
      </c>
      <c r="M611">
        <v>652856</v>
      </c>
      <c r="N611">
        <v>358320</v>
      </c>
      <c r="O611">
        <v>8747</v>
      </c>
      <c r="P611">
        <v>1138347</v>
      </c>
      <c r="Q611">
        <v>22.33</v>
      </c>
      <c r="R611">
        <v>8968387</v>
      </c>
      <c r="S611">
        <v>7334806</v>
      </c>
      <c r="T611">
        <v>27138731</v>
      </c>
      <c r="U611">
        <v>81.94</v>
      </c>
      <c r="V611">
        <v>3.09</v>
      </c>
      <c r="W611">
        <v>3105</v>
      </c>
      <c r="X611">
        <v>2.65</v>
      </c>
      <c r="Y611">
        <v>73.150000000000006</v>
      </c>
    </row>
    <row r="612" spans="1:25" x14ac:dyDescent="0.3">
      <c r="A612" t="s">
        <v>26</v>
      </c>
      <c r="B612" t="s">
        <v>34</v>
      </c>
      <c r="C612" t="s">
        <v>38</v>
      </c>
      <c r="D612" s="1">
        <v>44807</v>
      </c>
      <c r="E612">
        <v>40339283</v>
      </c>
      <c r="F612">
        <v>6909</v>
      </c>
      <c r="G612">
        <v>48.1</v>
      </c>
      <c r="H612">
        <v>69143</v>
      </c>
      <c r="I612">
        <v>344130</v>
      </c>
      <c r="J612">
        <v>6372</v>
      </c>
      <c r="K612">
        <v>1764</v>
      </c>
      <c r="L612">
        <v>1079</v>
      </c>
      <c r="M612">
        <v>524824</v>
      </c>
      <c r="N612">
        <v>237259</v>
      </c>
      <c r="O612">
        <v>2049</v>
      </c>
      <c r="P612">
        <v>1175804</v>
      </c>
      <c r="Q612">
        <v>26.91</v>
      </c>
      <c r="R612">
        <v>23338859</v>
      </c>
      <c r="S612">
        <v>38230351</v>
      </c>
      <c r="T612">
        <v>5273724</v>
      </c>
      <c r="U612">
        <v>27.59</v>
      </c>
      <c r="V612">
        <v>8.4</v>
      </c>
      <c r="W612">
        <v>65</v>
      </c>
      <c r="X612">
        <v>3.14</v>
      </c>
      <c r="Y612">
        <v>57.86</v>
      </c>
    </row>
    <row r="613" spans="1:25" x14ac:dyDescent="0.3">
      <c r="A613" t="s">
        <v>28</v>
      </c>
      <c r="B613" t="s">
        <v>36</v>
      </c>
      <c r="C613" t="s">
        <v>39</v>
      </c>
      <c r="D613" s="1">
        <v>44808</v>
      </c>
      <c r="E613">
        <v>46637503</v>
      </c>
      <c r="F613">
        <v>8891</v>
      </c>
      <c r="G613">
        <v>38.799999999999997</v>
      </c>
      <c r="H613">
        <v>32099</v>
      </c>
      <c r="I613">
        <v>987715</v>
      </c>
      <c r="J613">
        <v>39873</v>
      </c>
      <c r="K613">
        <v>26755</v>
      </c>
      <c r="L613">
        <v>985</v>
      </c>
      <c r="M613">
        <v>356592</v>
      </c>
      <c r="N613">
        <v>133121</v>
      </c>
      <c r="O613">
        <v>824</v>
      </c>
      <c r="P613">
        <v>92665</v>
      </c>
      <c r="Q613">
        <v>27.78</v>
      </c>
      <c r="R613">
        <v>31976223</v>
      </c>
      <c r="S613">
        <v>8507441</v>
      </c>
      <c r="T613">
        <v>17153861</v>
      </c>
      <c r="U613">
        <v>35.07</v>
      </c>
      <c r="V613">
        <v>1.3</v>
      </c>
      <c r="W613">
        <v>3398</v>
      </c>
      <c r="X613">
        <v>0.55000000000000004</v>
      </c>
      <c r="Y613">
        <v>23.75</v>
      </c>
    </row>
    <row r="614" spans="1:25" x14ac:dyDescent="0.3">
      <c r="A614" t="s">
        <v>26</v>
      </c>
      <c r="B614" t="s">
        <v>35</v>
      </c>
      <c r="C614" t="s">
        <v>38</v>
      </c>
      <c r="D614" s="1">
        <v>44809</v>
      </c>
      <c r="E614">
        <v>46256273</v>
      </c>
      <c r="F614">
        <v>10589</v>
      </c>
      <c r="G614">
        <v>48.5</v>
      </c>
      <c r="H614">
        <v>40385</v>
      </c>
      <c r="I614">
        <v>347140</v>
      </c>
      <c r="J614">
        <v>19965</v>
      </c>
      <c r="K614">
        <v>7388</v>
      </c>
      <c r="L614">
        <v>222</v>
      </c>
      <c r="M614">
        <v>870639</v>
      </c>
      <c r="N614">
        <v>49496</v>
      </c>
      <c r="O614">
        <v>3030</v>
      </c>
      <c r="P614">
        <v>797966</v>
      </c>
      <c r="Q614">
        <v>11.37</v>
      </c>
      <c r="R614">
        <v>10201475</v>
      </c>
      <c r="S614">
        <v>14745270</v>
      </c>
      <c r="T614">
        <v>12411968</v>
      </c>
      <c r="U614">
        <v>21.68</v>
      </c>
      <c r="V614">
        <v>7.84</v>
      </c>
      <c r="W614">
        <v>382</v>
      </c>
      <c r="X614">
        <v>2.2200000000000002</v>
      </c>
      <c r="Y614">
        <v>26.22</v>
      </c>
    </row>
    <row r="615" spans="1:25" x14ac:dyDescent="0.3">
      <c r="A615" t="s">
        <v>26</v>
      </c>
      <c r="B615" t="s">
        <v>34</v>
      </c>
      <c r="C615" t="s">
        <v>41</v>
      </c>
      <c r="D615" s="1">
        <v>44810</v>
      </c>
      <c r="E615">
        <v>32955693</v>
      </c>
      <c r="F615">
        <v>12732</v>
      </c>
      <c r="G615">
        <v>22.8</v>
      </c>
      <c r="H615">
        <v>36919</v>
      </c>
      <c r="I615">
        <v>581305</v>
      </c>
      <c r="J615">
        <v>44997</v>
      </c>
      <c r="K615">
        <v>46369</v>
      </c>
      <c r="L615">
        <v>1655</v>
      </c>
      <c r="M615">
        <v>563839</v>
      </c>
      <c r="N615">
        <v>370580</v>
      </c>
      <c r="O615">
        <v>1081</v>
      </c>
      <c r="P615">
        <v>1879068</v>
      </c>
      <c r="Q615">
        <v>5.21</v>
      </c>
      <c r="R615">
        <v>19204852</v>
      </c>
      <c r="S615">
        <v>35662518</v>
      </c>
      <c r="T615">
        <v>26739480</v>
      </c>
      <c r="U615">
        <v>58.55</v>
      </c>
      <c r="V615">
        <v>1.45</v>
      </c>
      <c r="W615">
        <v>4628</v>
      </c>
      <c r="X615">
        <v>1.21</v>
      </c>
      <c r="Y615">
        <v>49.12</v>
      </c>
    </row>
    <row r="616" spans="1:25" x14ac:dyDescent="0.3">
      <c r="A616" t="s">
        <v>29</v>
      </c>
      <c r="B616" t="s">
        <v>34</v>
      </c>
      <c r="C616" t="s">
        <v>40</v>
      </c>
      <c r="D616" s="1">
        <v>44811</v>
      </c>
      <c r="E616">
        <v>43654609</v>
      </c>
      <c r="F616">
        <v>3328</v>
      </c>
      <c r="G616">
        <v>33.299999999999997</v>
      </c>
      <c r="H616">
        <v>61782</v>
      </c>
      <c r="I616">
        <v>498163</v>
      </c>
      <c r="J616">
        <v>16956</v>
      </c>
      <c r="K616">
        <v>20150</v>
      </c>
      <c r="L616">
        <v>178</v>
      </c>
      <c r="M616">
        <v>492013</v>
      </c>
      <c r="N616">
        <v>32012</v>
      </c>
      <c r="O616">
        <v>5299</v>
      </c>
      <c r="P616">
        <v>1853197</v>
      </c>
      <c r="Q616">
        <v>27.39</v>
      </c>
      <c r="R616">
        <v>21368672</v>
      </c>
      <c r="S616">
        <v>32919477</v>
      </c>
      <c r="T616">
        <v>17210127</v>
      </c>
      <c r="U616">
        <v>34.81</v>
      </c>
      <c r="V616">
        <v>8.8699999999999992</v>
      </c>
      <c r="W616">
        <v>4711</v>
      </c>
      <c r="X616">
        <v>1.35</v>
      </c>
      <c r="Y616">
        <v>41.92</v>
      </c>
    </row>
    <row r="617" spans="1:25" x14ac:dyDescent="0.3">
      <c r="A617" t="s">
        <v>28</v>
      </c>
      <c r="B617" t="s">
        <v>33</v>
      </c>
      <c r="C617" t="s">
        <v>39</v>
      </c>
      <c r="D617" s="1">
        <v>44812</v>
      </c>
      <c r="E617">
        <v>47004347</v>
      </c>
      <c r="F617">
        <v>18995</v>
      </c>
      <c r="G617">
        <v>37.299999999999997</v>
      </c>
      <c r="H617">
        <v>41387</v>
      </c>
      <c r="I617">
        <v>58676</v>
      </c>
      <c r="J617">
        <v>40473</v>
      </c>
      <c r="K617">
        <v>9381</v>
      </c>
      <c r="L617">
        <v>799</v>
      </c>
      <c r="M617">
        <v>81238</v>
      </c>
      <c r="N617">
        <v>57047</v>
      </c>
      <c r="O617">
        <v>492</v>
      </c>
      <c r="P617">
        <v>1964439</v>
      </c>
      <c r="Q617">
        <v>2.78</v>
      </c>
      <c r="R617">
        <v>37255622</v>
      </c>
      <c r="S617">
        <v>32397138</v>
      </c>
      <c r="T617">
        <v>16336115</v>
      </c>
      <c r="U617">
        <v>65.739999999999995</v>
      </c>
      <c r="V617">
        <v>3.39</v>
      </c>
      <c r="W617">
        <v>2211</v>
      </c>
      <c r="X617">
        <v>2.57</v>
      </c>
      <c r="Y617">
        <v>29.12</v>
      </c>
    </row>
    <row r="618" spans="1:25" x14ac:dyDescent="0.3">
      <c r="A618" t="s">
        <v>26</v>
      </c>
      <c r="B618" t="s">
        <v>35</v>
      </c>
      <c r="C618" t="s">
        <v>41</v>
      </c>
      <c r="D618" s="1">
        <v>44813</v>
      </c>
      <c r="E618">
        <v>1695885</v>
      </c>
      <c r="F618">
        <v>6589</v>
      </c>
      <c r="G618">
        <v>36.6</v>
      </c>
      <c r="H618">
        <v>16823</v>
      </c>
      <c r="I618">
        <v>536848</v>
      </c>
      <c r="J618">
        <v>13894</v>
      </c>
      <c r="K618">
        <v>27009</v>
      </c>
      <c r="L618">
        <v>433</v>
      </c>
      <c r="M618">
        <v>336240</v>
      </c>
      <c r="N618">
        <v>491013</v>
      </c>
      <c r="O618">
        <v>4764</v>
      </c>
      <c r="P618">
        <v>1659931</v>
      </c>
      <c r="Q618">
        <v>21.65</v>
      </c>
      <c r="R618">
        <v>33905344</v>
      </c>
      <c r="S618">
        <v>24060666</v>
      </c>
      <c r="T618">
        <v>23111182</v>
      </c>
      <c r="U618">
        <v>1.56</v>
      </c>
      <c r="V618">
        <v>6.72</v>
      </c>
      <c r="W618">
        <v>2135</v>
      </c>
      <c r="X618">
        <v>4.08</v>
      </c>
      <c r="Y618">
        <v>80.75</v>
      </c>
    </row>
    <row r="619" spans="1:25" x14ac:dyDescent="0.3">
      <c r="A619" t="s">
        <v>31</v>
      </c>
      <c r="B619" t="s">
        <v>32</v>
      </c>
      <c r="C619" t="s">
        <v>37</v>
      </c>
      <c r="D619" s="1">
        <v>44814</v>
      </c>
      <c r="E619">
        <v>43599123</v>
      </c>
      <c r="F619">
        <v>16804</v>
      </c>
      <c r="G619">
        <v>30.8</v>
      </c>
      <c r="H619">
        <v>47015</v>
      </c>
      <c r="I619">
        <v>448617</v>
      </c>
      <c r="J619">
        <v>45048</v>
      </c>
      <c r="K619">
        <v>12789</v>
      </c>
      <c r="L619">
        <v>1960</v>
      </c>
      <c r="M619">
        <v>584859</v>
      </c>
      <c r="N619">
        <v>44487</v>
      </c>
      <c r="O619">
        <v>7202</v>
      </c>
      <c r="P619">
        <v>798399</v>
      </c>
      <c r="Q619">
        <v>4.21</v>
      </c>
      <c r="R619">
        <v>35515215</v>
      </c>
      <c r="S619">
        <v>29842019</v>
      </c>
      <c r="T619">
        <v>1480929</v>
      </c>
      <c r="U619">
        <v>6.44</v>
      </c>
      <c r="V619">
        <v>5.13</v>
      </c>
      <c r="W619">
        <v>4599</v>
      </c>
      <c r="X619">
        <v>3.74</v>
      </c>
      <c r="Y619">
        <v>48.15</v>
      </c>
    </row>
    <row r="620" spans="1:25" x14ac:dyDescent="0.3">
      <c r="A620" t="s">
        <v>31</v>
      </c>
      <c r="B620" t="s">
        <v>36</v>
      </c>
      <c r="C620" t="s">
        <v>40</v>
      </c>
      <c r="D620" s="1">
        <v>44815</v>
      </c>
      <c r="E620">
        <v>27640148</v>
      </c>
      <c r="F620">
        <v>907</v>
      </c>
      <c r="G620">
        <v>28.8</v>
      </c>
      <c r="H620">
        <v>16339</v>
      </c>
      <c r="I620">
        <v>51468</v>
      </c>
      <c r="J620">
        <v>33382</v>
      </c>
      <c r="K620">
        <v>31085</v>
      </c>
      <c r="L620">
        <v>1473</v>
      </c>
      <c r="M620">
        <v>131113</v>
      </c>
      <c r="N620">
        <v>457281</v>
      </c>
      <c r="O620">
        <v>8266</v>
      </c>
      <c r="P620">
        <v>738351</v>
      </c>
      <c r="Q620">
        <v>11.68</v>
      </c>
      <c r="R620">
        <v>19424565</v>
      </c>
      <c r="S620">
        <v>2338782</v>
      </c>
      <c r="T620">
        <v>20036048</v>
      </c>
      <c r="U620">
        <v>9.9700000000000006</v>
      </c>
      <c r="V620">
        <v>3.98</v>
      </c>
      <c r="W620">
        <v>4003</v>
      </c>
      <c r="X620">
        <v>3</v>
      </c>
      <c r="Y620">
        <v>65.48</v>
      </c>
    </row>
    <row r="621" spans="1:25" x14ac:dyDescent="0.3">
      <c r="A621" t="s">
        <v>27</v>
      </c>
      <c r="B621" t="s">
        <v>32</v>
      </c>
      <c r="C621" t="s">
        <v>38</v>
      </c>
      <c r="D621" s="1">
        <v>44816</v>
      </c>
      <c r="E621">
        <v>30923447</v>
      </c>
      <c r="F621">
        <v>4936</v>
      </c>
      <c r="G621">
        <v>22.1</v>
      </c>
      <c r="H621">
        <v>4491</v>
      </c>
      <c r="I621">
        <v>688823</v>
      </c>
      <c r="J621">
        <v>4050</v>
      </c>
      <c r="K621">
        <v>30707</v>
      </c>
      <c r="L621">
        <v>792</v>
      </c>
      <c r="M621">
        <v>74101</v>
      </c>
      <c r="N621">
        <v>278752</v>
      </c>
      <c r="O621">
        <v>3360</v>
      </c>
      <c r="P621">
        <v>852995</v>
      </c>
      <c r="Q621">
        <v>12.35</v>
      </c>
      <c r="R621">
        <v>47230078</v>
      </c>
      <c r="S621">
        <v>39732204</v>
      </c>
      <c r="T621">
        <v>6244994</v>
      </c>
      <c r="U621">
        <v>41.9</v>
      </c>
      <c r="V621">
        <v>6.63</v>
      </c>
      <c r="W621">
        <v>2839</v>
      </c>
      <c r="X621">
        <v>2.74</v>
      </c>
      <c r="Y621">
        <v>18.93</v>
      </c>
    </row>
    <row r="622" spans="1:25" x14ac:dyDescent="0.3">
      <c r="A622" t="s">
        <v>28</v>
      </c>
      <c r="B622" t="s">
        <v>35</v>
      </c>
      <c r="C622" t="s">
        <v>40</v>
      </c>
      <c r="D622" s="1">
        <v>44817</v>
      </c>
      <c r="E622">
        <v>37952622</v>
      </c>
      <c r="F622">
        <v>12995</v>
      </c>
      <c r="G622">
        <v>30.5</v>
      </c>
      <c r="H622">
        <v>1706</v>
      </c>
      <c r="I622">
        <v>950167</v>
      </c>
      <c r="J622">
        <v>16709</v>
      </c>
      <c r="K622">
        <v>9805</v>
      </c>
      <c r="L622">
        <v>883</v>
      </c>
      <c r="M622">
        <v>30373</v>
      </c>
      <c r="N622">
        <v>307836</v>
      </c>
      <c r="O622">
        <v>8562</v>
      </c>
      <c r="P622">
        <v>271804</v>
      </c>
      <c r="Q622">
        <v>4.76</v>
      </c>
      <c r="R622">
        <v>27926702</v>
      </c>
      <c r="S622">
        <v>1609387</v>
      </c>
      <c r="T622">
        <v>1777346</v>
      </c>
      <c r="U622">
        <v>81.48</v>
      </c>
      <c r="V622">
        <v>9.5</v>
      </c>
      <c r="W622">
        <v>4311</v>
      </c>
      <c r="X622">
        <v>2.19</v>
      </c>
      <c r="Y622">
        <v>53.35</v>
      </c>
    </row>
    <row r="623" spans="1:25" x14ac:dyDescent="0.3">
      <c r="A623" t="s">
        <v>28</v>
      </c>
      <c r="B623" t="s">
        <v>34</v>
      </c>
      <c r="C623" t="s">
        <v>37</v>
      </c>
      <c r="D623" s="1">
        <v>44818</v>
      </c>
      <c r="E623">
        <v>24663349</v>
      </c>
      <c r="F623">
        <v>7535</v>
      </c>
      <c r="G623">
        <v>23.2</v>
      </c>
      <c r="H623">
        <v>16728</v>
      </c>
      <c r="I623">
        <v>987210</v>
      </c>
      <c r="J623">
        <v>15722</v>
      </c>
      <c r="K623">
        <v>38470</v>
      </c>
      <c r="L623">
        <v>491</v>
      </c>
      <c r="M623">
        <v>692508</v>
      </c>
      <c r="N623">
        <v>109349</v>
      </c>
      <c r="O623">
        <v>4682</v>
      </c>
      <c r="P623">
        <v>1430391</v>
      </c>
      <c r="Q623">
        <v>27.68</v>
      </c>
      <c r="R623">
        <v>14896261</v>
      </c>
      <c r="S623">
        <v>5169501</v>
      </c>
      <c r="T623">
        <v>26689828</v>
      </c>
      <c r="U623">
        <v>88.82</v>
      </c>
      <c r="V623">
        <v>0.89</v>
      </c>
      <c r="W623">
        <v>2302</v>
      </c>
      <c r="X623">
        <v>4.87</v>
      </c>
      <c r="Y623">
        <v>31.8</v>
      </c>
    </row>
    <row r="624" spans="1:25" x14ac:dyDescent="0.3">
      <c r="A624" t="s">
        <v>27</v>
      </c>
      <c r="B624" t="s">
        <v>34</v>
      </c>
      <c r="C624" t="s">
        <v>39</v>
      </c>
      <c r="D624" s="1">
        <v>44819</v>
      </c>
      <c r="E624">
        <v>3888445</v>
      </c>
      <c r="F624">
        <v>13730</v>
      </c>
      <c r="G624">
        <v>41.5</v>
      </c>
      <c r="H624">
        <v>7997</v>
      </c>
      <c r="I624">
        <v>452989</v>
      </c>
      <c r="J624">
        <v>15210</v>
      </c>
      <c r="K624">
        <v>4228</v>
      </c>
      <c r="L624">
        <v>1212</v>
      </c>
      <c r="M624">
        <v>71968</v>
      </c>
      <c r="N624">
        <v>2019</v>
      </c>
      <c r="O624">
        <v>328</v>
      </c>
      <c r="P624">
        <v>485091</v>
      </c>
      <c r="Q624">
        <v>0.08</v>
      </c>
      <c r="R624">
        <v>29021249</v>
      </c>
      <c r="S624">
        <v>28877486</v>
      </c>
      <c r="T624">
        <v>20749008</v>
      </c>
      <c r="U624">
        <v>24.48</v>
      </c>
      <c r="V624">
        <v>9.23</v>
      </c>
      <c r="W624">
        <v>294</v>
      </c>
      <c r="X624">
        <v>2.84</v>
      </c>
      <c r="Y624">
        <v>52.64</v>
      </c>
    </row>
    <row r="625" spans="1:25" x14ac:dyDescent="0.3">
      <c r="A625" t="s">
        <v>26</v>
      </c>
      <c r="B625" t="s">
        <v>35</v>
      </c>
      <c r="C625" t="s">
        <v>39</v>
      </c>
      <c r="D625" s="1">
        <v>44820</v>
      </c>
      <c r="E625">
        <v>20020190</v>
      </c>
      <c r="F625">
        <v>16817</v>
      </c>
      <c r="G625">
        <v>24.7</v>
      </c>
      <c r="H625">
        <v>61408</v>
      </c>
      <c r="I625">
        <v>820555</v>
      </c>
      <c r="J625">
        <v>49510</v>
      </c>
      <c r="K625">
        <v>37581</v>
      </c>
      <c r="L625">
        <v>1601</v>
      </c>
      <c r="M625">
        <v>813402</v>
      </c>
      <c r="N625">
        <v>304839</v>
      </c>
      <c r="O625">
        <v>9982</v>
      </c>
      <c r="P625">
        <v>130909</v>
      </c>
      <c r="Q625">
        <v>26.81</v>
      </c>
      <c r="R625">
        <v>39708040</v>
      </c>
      <c r="S625">
        <v>5919261</v>
      </c>
      <c r="T625">
        <v>20615094</v>
      </c>
      <c r="U625">
        <v>57.44</v>
      </c>
      <c r="V625">
        <v>6.29</v>
      </c>
      <c r="W625">
        <v>1944</v>
      </c>
      <c r="X625">
        <v>1.34</v>
      </c>
      <c r="Y625">
        <v>78.08</v>
      </c>
    </row>
    <row r="626" spans="1:25" x14ac:dyDescent="0.3">
      <c r="A626" t="s">
        <v>28</v>
      </c>
      <c r="B626" t="s">
        <v>34</v>
      </c>
      <c r="C626" t="s">
        <v>39</v>
      </c>
      <c r="D626" s="1">
        <v>44821</v>
      </c>
      <c r="E626">
        <v>45935139</v>
      </c>
      <c r="F626">
        <v>14447</v>
      </c>
      <c r="G626">
        <v>19.899999999999999</v>
      </c>
      <c r="H626">
        <v>59097</v>
      </c>
      <c r="I626">
        <v>619634</v>
      </c>
      <c r="J626">
        <v>36545</v>
      </c>
      <c r="K626">
        <v>11682</v>
      </c>
      <c r="L626">
        <v>809</v>
      </c>
      <c r="M626">
        <v>720989</v>
      </c>
      <c r="N626">
        <v>140789</v>
      </c>
      <c r="O626">
        <v>8968</v>
      </c>
      <c r="P626">
        <v>1482615</v>
      </c>
      <c r="Q626">
        <v>26.51</v>
      </c>
      <c r="R626">
        <v>7137219</v>
      </c>
      <c r="S626">
        <v>6515766</v>
      </c>
      <c r="T626">
        <v>15721852</v>
      </c>
      <c r="U626">
        <v>76.84</v>
      </c>
      <c r="V626">
        <v>8.17</v>
      </c>
      <c r="W626">
        <v>1406</v>
      </c>
      <c r="X626">
        <v>1.23</v>
      </c>
      <c r="Y626">
        <v>76.89</v>
      </c>
    </row>
    <row r="627" spans="1:25" x14ac:dyDescent="0.3">
      <c r="A627" t="s">
        <v>31</v>
      </c>
      <c r="B627" t="s">
        <v>34</v>
      </c>
      <c r="C627" t="s">
        <v>38</v>
      </c>
      <c r="D627" s="1">
        <v>44822</v>
      </c>
      <c r="E627">
        <v>10167788</v>
      </c>
      <c r="F627">
        <v>10794</v>
      </c>
      <c r="G627">
        <v>35.700000000000003</v>
      </c>
      <c r="H627">
        <v>39523</v>
      </c>
      <c r="I627">
        <v>666078</v>
      </c>
      <c r="J627">
        <v>38674</v>
      </c>
      <c r="K627">
        <v>31052</v>
      </c>
      <c r="L627">
        <v>960</v>
      </c>
      <c r="M627">
        <v>8828</v>
      </c>
      <c r="N627">
        <v>468584</v>
      </c>
      <c r="O627">
        <v>4674</v>
      </c>
      <c r="P627">
        <v>450058</v>
      </c>
      <c r="Q627">
        <v>9.51</v>
      </c>
      <c r="R627">
        <v>29097324</v>
      </c>
      <c r="S627">
        <v>11776360</v>
      </c>
      <c r="T627">
        <v>5588592</v>
      </c>
      <c r="U627">
        <v>28.88</v>
      </c>
      <c r="V627">
        <v>4.1500000000000004</v>
      </c>
      <c r="W627">
        <v>992</v>
      </c>
      <c r="X627">
        <v>3.1</v>
      </c>
      <c r="Y627">
        <v>35.42</v>
      </c>
    </row>
    <row r="628" spans="1:25" x14ac:dyDescent="0.3">
      <c r="A628" t="s">
        <v>31</v>
      </c>
      <c r="B628" t="s">
        <v>34</v>
      </c>
      <c r="C628" t="s">
        <v>41</v>
      </c>
      <c r="D628" s="1">
        <v>44823</v>
      </c>
      <c r="E628">
        <v>45776218</v>
      </c>
      <c r="F628">
        <v>4384</v>
      </c>
      <c r="G628">
        <v>37</v>
      </c>
      <c r="H628">
        <v>26163</v>
      </c>
      <c r="I628">
        <v>718997</v>
      </c>
      <c r="J628">
        <v>34489</v>
      </c>
      <c r="K628">
        <v>35960</v>
      </c>
      <c r="L628">
        <v>419</v>
      </c>
      <c r="M628">
        <v>137905</v>
      </c>
      <c r="N628">
        <v>33398</v>
      </c>
      <c r="O628">
        <v>4316</v>
      </c>
      <c r="P628">
        <v>141688</v>
      </c>
      <c r="Q628">
        <v>21.13</v>
      </c>
      <c r="R628">
        <v>10416885</v>
      </c>
      <c r="S628">
        <v>18844355</v>
      </c>
      <c r="T628">
        <v>24902387</v>
      </c>
      <c r="U628">
        <v>40.9</v>
      </c>
      <c r="V628">
        <v>4.9800000000000004</v>
      </c>
      <c r="W628">
        <v>3517</v>
      </c>
      <c r="X628">
        <v>2.66</v>
      </c>
      <c r="Y628">
        <v>69.430000000000007</v>
      </c>
    </row>
    <row r="629" spans="1:25" x14ac:dyDescent="0.3">
      <c r="A629" t="s">
        <v>29</v>
      </c>
      <c r="B629" t="s">
        <v>36</v>
      </c>
      <c r="C629" t="s">
        <v>41</v>
      </c>
      <c r="D629" s="1">
        <v>44824</v>
      </c>
      <c r="E629">
        <v>42252022</v>
      </c>
      <c r="F629">
        <v>19159</v>
      </c>
      <c r="G629">
        <v>45.9</v>
      </c>
      <c r="H629">
        <v>18718</v>
      </c>
      <c r="I629">
        <v>787460</v>
      </c>
      <c r="J629">
        <v>17733</v>
      </c>
      <c r="K629">
        <v>11019</v>
      </c>
      <c r="L629">
        <v>1272</v>
      </c>
      <c r="M629">
        <v>776307</v>
      </c>
      <c r="N629">
        <v>237325</v>
      </c>
      <c r="O629">
        <v>9379</v>
      </c>
      <c r="P629">
        <v>1125552</v>
      </c>
      <c r="Q629">
        <v>7.58</v>
      </c>
      <c r="R629">
        <v>17504618</v>
      </c>
      <c r="S629">
        <v>6548932</v>
      </c>
      <c r="T629">
        <v>3569829</v>
      </c>
      <c r="U629">
        <v>52.4</v>
      </c>
      <c r="V629">
        <v>8.75</v>
      </c>
      <c r="W629">
        <v>3242</v>
      </c>
      <c r="X629">
        <v>0.14000000000000001</v>
      </c>
      <c r="Y629">
        <v>94.13</v>
      </c>
    </row>
    <row r="630" spans="1:25" x14ac:dyDescent="0.3">
      <c r="A630" t="s">
        <v>28</v>
      </c>
      <c r="B630" t="s">
        <v>36</v>
      </c>
      <c r="C630" t="s">
        <v>40</v>
      </c>
      <c r="D630" s="1">
        <v>44825</v>
      </c>
      <c r="E630">
        <v>8682535</v>
      </c>
      <c r="F630">
        <v>12276</v>
      </c>
      <c r="G630">
        <v>36.5</v>
      </c>
      <c r="H630">
        <v>40619</v>
      </c>
      <c r="I630">
        <v>980874</v>
      </c>
      <c r="J630">
        <v>20080</v>
      </c>
      <c r="K630">
        <v>47106</v>
      </c>
      <c r="L630">
        <v>1611</v>
      </c>
      <c r="M630">
        <v>121673</v>
      </c>
      <c r="N630">
        <v>400245</v>
      </c>
      <c r="O630">
        <v>9695</v>
      </c>
      <c r="P630">
        <v>1807072</v>
      </c>
      <c r="Q630">
        <v>22.76</v>
      </c>
      <c r="R630">
        <v>11978476</v>
      </c>
      <c r="S630">
        <v>21252780</v>
      </c>
      <c r="T630">
        <v>7405246</v>
      </c>
      <c r="U630">
        <v>13.49</v>
      </c>
      <c r="V630">
        <v>4.4400000000000004</v>
      </c>
      <c r="W630">
        <v>1795</v>
      </c>
      <c r="X630">
        <v>4.17</v>
      </c>
      <c r="Y630">
        <v>62.57</v>
      </c>
    </row>
    <row r="631" spans="1:25" x14ac:dyDescent="0.3">
      <c r="A631" t="s">
        <v>26</v>
      </c>
      <c r="B631" t="s">
        <v>33</v>
      </c>
      <c r="C631" t="s">
        <v>38</v>
      </c>
      <c r="D631" s="1">
        <v>44826</v>
      </c>
      <c r="E631">
        <v>25343729</v>
      </c>
      <c r="F631">
        <v>13490</v>
      </c>
      <c r="G631">
        <v>29.1</v>
      </c>
      <c r="H631">
        <v>13126</v>
      </c>
      <c r="I631">
        <v>48599</v>
      </c>
      <c r="J631">
        <v>36664</v>
      </c>
      <c r="K631">
        <v>19554</v>
      </c>
      <c r="L631">
        <v>648</v>
      </c>
      <c r="M631">
        <v>47138</v>
      </c>
      <c r="N631">
        <v>233825</v>
      </c>
      <c r="O631">
        <v>5803</v>
      </c>
      <c r="P631">
        <v>1229386</v>
      </c>
      <c r="Q631">
        <v>16.829999999999998</v>
      </c>
      <c r="R631">
        <v>39219370</v>
      </c>
      <c r="S631">
        <v>29301065</v>
      </c>
      <c r="T631">
        <v>19868416</v>
      </c>
      <c r="U631">
        <v>2.6</v>
      </c>
      <c r="V631">
        <v>5.58</v>
      </c>
      <c r="W631">
        <v>4555</v>
      </c>
      <c r="X631">
        <v>3.55</v>
      </c>
      <c r="Y631">
        <v>14.84</v>
      </c>
    </row>
    <row r="632" spans="1:25" x14ac:dyDescent="0.3">
      <c r="A632" t="s">
        <v>27</v>
      </c>
      <c r="B632" t="s">
        <v>32</v>
      </c>
      <c r="C632" t="s">
        <v>39</v>
      </c>
      <c r="D632" s="1">
        <v>44827</v>
      </c>
      <c r="E632">
        <v>46974251</v>
      </c>
      <c r="F632">
        <v>15070</v>
      </c>
      <c r="G632">
        <v>43.7</v>
      </c>
      <c r="H632">
        <v>65926</v>
      </c>
      <c r="I632">
        <v>149469</v>
      </c>
      <c r="J632">
        <v>39709</v>
      </c>
      <c r="K632">
        <v>29391</v>
      </c>
      <c r="L632">
        <v>1187</v>
      </c>
      <c r="M632">
        <v>798200</v>
      </c>
      <c r="N632">
        <v>276700</v>
      </c>
      <c r="O632">
        <v>3325</v>
      </c>
      <c r="P632">
        <v>1324827</v>
      </c>
      <c r="Q632">
        <v>9.01</v>
      </c>
      <c r="R632">
        <v>42270566</v>
      </c>
      <c r="S632">
        <v>11647194</v>
      </c>
      <c r="T632">
        <v>3714886</v>
      </c>
      <c r="U632">
        <v>15.28</v>
      </c>
      <c r="V632">
        <v>0.69</v>
      </c>
      <c r="W632">
        <v>2407</v>
      </c>
      <c r="X632">
        <v>3.34</v>
      </c>
      <c r="Y632">
        <v>67.97</v>
      </c>
    </row>
    <row r="633" spans="1:25" x14ac:dyDescent="0.3">
      <c r="A633" t="s">
        <v>27</v>
      </c>
      <c r="B633" t="s">
        <v>35</v>
      </c>
      <c r="C633" t="s">
        <v>39</v>
      </c>
      <c r="D633" s="1">
        <v>44828</v>
      </c>
      <c r="E633">
        <v>10696894</v>
      </c>
      <c r="F633">
        <v>4301</v>
      </c>
      <c r="G633">
        <v>35.299999999999997</v>
      </c>
      <c r="H633">
        <v>41633</v>
      </c>
      <c r="I633">
        <v>241270</v>
      </c>
      <c r="J633">
        <v>46232</v>
      </c>
      <c r="K633">
        <v>25297</v>
      </c>
      <c r="L633">
        <v>1768</v>
      </c>
      <c r="M633">
        <v>202175</v>
      </c>
      <c r="N633">
        <v>109699</v>
      </c>
      <c r="O633">
        <v>8379</v>
      </c>
      <c r="P633">
        <v>1766340</v>
      </c>
      <c r="Q633">
        <v>12.01</v>
      </c>
      <c r="R633">
        <v>42988184</v>
      </c>
      <c r="S633">
        <v>3889359</v>
      </c>
      <c r="T633">
        <v>19657945</v>
      </c>
      <c r="U633">
        <v>62.69</v>
      </c>
      <c r="V633">
        <v>2.0099999999999998</v>
      </c>
      <c r="W633">
        <v>3929</v>
      </c>
      <c r="X633">
        <v>0.44</v>
      </c>
      <c r="Y633">
        <v>10.49</v>
      </c>
    </row>
    <row r="634" spans="1:25" x14ac:dyDescent="0.3">
      <c r="A634" t="s">
        <v>26</v>
      </c>
      <c r="B634" t="s">
        <v>35</v>
      </c>
      <c r="C634" t="s">
        <v>37</v>
      </c>
      <c r="D634" s="1">
        <v>44829</v>
      </c>
      <c r="E634">
        <v>13488365</v>
      </c>
      <c r="F634">
        <v>12230</v>
      </c>
      <c r="G634">
        <v>20.5</v>
      </c>
      <c r="H634">
        <v>4317</v>
      </c>
      <c r="I634">
        <v>46406</v>
      </c>
      <c r="J634">
        <v>38014</v>
      </c>
      <c r="K634">
        <v>2596</v>
      </c>
      <c r="L634">
        <v>1278</v>
      </c>
      <c r="M634">
        <v>114420</v>
      </c>
      <c r="N634">
        <v>348920</v>
      </c>
      <c r="O634">
        <v>1214</v>
      </c>
      <c r="P634">
        <v>1668046</v>
      </c>
      <c r="Q634">
        <v>20.7</v>
      </c>
      <c r="R634">
        <v>38871631</v>
      </c>
      <c r="S634">
        <v>37825356</v>
      </c>
      <c r="T634">
        <v>22068206</v>
      </c>
      <c r="U634">
        <v>7.36</v>
      </c>
      <c r="V634">
        <v>6.6</v>
      </c>
      <c r="W634">
        <v>3827</v>
      </c>
      <c r="X634">
        <v>1.87</v>
      </c>
      <c r="Y634">
        <v>87.21</v>
      </c>
    </row>
    <row r="635" spans="1:25" x14ac:dyDescent="0.3">
      <c r="A635" t="s">
        <v>25</v>
      </c>
      <c r="B635" t="s">
        <v>35</v>
      </c>
      <c r="C635" t="s">
        <v>37</v>
      </c>
      <c r="D635" s="1">
        <v>44830</v>
      </c>
      <c r="E635">
        <v>30531137</v>
      </c>
      <c r="F635">
        <v>16190</v>
      </c>
      <c r="G635">
        <v>36.1</v>
      </c>
      <c r="H635">
        <v>45980</v>
      </c>
      <c r="I635">
        <v>835089</v>
      </c>
      <c r="J635">
        <v>41152</v>
      </c>
      <c r="K635">
        <v>2658</v>
      </c>
      <c r="L635">
        <v>475</v>
      </c>
      <c r="M635">
        <v>897311</v>
      </c>
      <c r="N635">
        <v>83821</v>
      </c>
      <c r="O635">
        <v>7556</v>
      </c>
      <c r="P635">
        <v>1817017</v>
      </c>
      <c r="Q635">
        <v>27.18</v>
      </c>
      <c r="R635">
        <v>25439138</v>
      </c>
      <c r="S635">
        <v>24030947</v>
      </c>
      <c r="T635">
        <v>10333030</v>
      </c>
      <c r="U635">
        <v>18.97</v>
      </c>
      <c r="V635">
        <v>7.31</v>
      </c>
      <c r="W635">
        <v>2165</v>
      </c>
      <c r="X635">
        <v>4.68</v>
      </c>
      <c r="Y635">
        <v>51.67</v>
      </c>
    </row>
    <row r="636" spans="1:25" x14ac:dyDescent="0.3">
      <c r="A636" t="s">
        <v>30</v>
      </c>
      <c r="B636" t="s">
        <v>33</v>
      </c>
      <c r="C636" t="s">
        <v>39</v>
      </c>
      <c r="D636" s="1">
        <v>44831</v>
      </c>
      <c r="E636">
        <v>38417521</v>
      </c>
      <c r="F636">
        <v>972</v>
      </c>
      <c r="G636">
        <v>47.1</v>
      </c>
      <c r="H636">
        <v>45115</v>
      </c>
      <c r="I636">
        <v>68560</v>
      </c>
      <c r="J636">
        <v>27250</v>
      </c>
      <c r="K636">
        <v>40091</v>
      </c>
      <c r="L636">
        <v>1829</v>
      </c>
      <c r="M636">
        <v>410761</v>
      </c>
      <c r="N636">
        <v>300168</v>
      </c>
      <c r="O636">
        <v>9301</v>
      </c>
      <c r="P636">
        <v>879219</v>
      </c>
      <c r="Q636">
        <v>3.92</v>
      </c>
      <c r="R636">
        <v>30004368</v>
      </c>
      <c r="S636">
        <v>8810580</v>
      </c>
      <c r="T636">
        <v>12057874</v>
      </c>
      <c r="U636">
        <v>33.79</v>
      </c>
      <c r="V636">
        <v>6.03</v>
      </c>
      <c r="W636">
        <v>2317</v>
      </c>
      <c r="X636">
        <v>4.33</v>
      </c>
      <c r="Y636">
        <v>38.51</v>
      </c>
    </row>
    <row r="637" spans="1:25" x14ac:dyDescent="0.3">
      <c r="A637" t="s">
        <v>29</v>
      </c>
      <c r="B637" t="s">
        <v>36</v>
      </c>
      <c r="C637" t="s">
        <v>39</v>
      </c>
      <c r="D637" s="1">
        <v>44832</v>
      </c>
      <c r="E637">
        <v>48939031</v>
      </c>
      <c r="F637">
        <v>19349</v>
      </c>
      <c r="G637">
        <v>30.7</v>
      </c>
      <c r="H637">
        <v>62646</v>
      </c>
      <c r="I637">
        <v>517394</v>
      </c>
      <c r="J637">
        <v>20229</v>
      </c>
      <c r="K637">
        <v>18111</v>
      </c>
      <c r="L637">
        <v>1440</v>
      </c>
      <c r="M637">
        <v>696601</v>
      </c>
      <c r="N637">
        <v>286484</v>
      </c>
      <c r="O637">
        <v>8722</v>
      </c>
      <c r="P637">
        <v>1851962</v>
      </c>
      <c r="Q637">
        <v>17.14</v>
      </c>
      <c r="R637">
        <v>15284497</v>
      </c>
      <c r="S637">
        <v>25248428</v>
      </c>
      <c r="T637">
        <v>13243443</v>
      </c>
      <c r="U637">
        <v>7.79</v>
      </c>
      <c r="V637">
        <v>1.86</v>
      </c>
      <c r="W637">
        <v>2317</v>
      </c>
      <c r="X637">
        <v>1.5</v>
      </c>
      <c r="Y637">
        <v>5.7</v>
      </c>
    </row>
    <row r="638" spans="1:25" x14ac:dyDescent="0.3">
      <c r="A638" t="s">
        <v>27</v>
      </c>
      <c r="B638" t="s">
        <v>33</v>
      </c>
      <c r="C638" t="s">
        <v>38</v>
      </c>
      <c r="D638" s="1">
        <v>44833</v>
      </c>
      <c r="E638">
        <v>20075137</v>
      </c>
      <c r="F638">
        <v>8007</v>
      </c>
      <c r="G638">
        <v>27.5</v>
      </c>
      <c r="H638">
        <v>44158</v>
      </c>
      <c r="I638">
        <v>629431</v>
      </c>
      <c r="J638">
        <v>48137</v>
      </c>
      <c r="K638">
        <v>45322</v>
      </c>
      <c r="L638">
        <v>169</v>
      </c>
      <c r="M638">
        <v>436486</v>
      </c>
      <c r="N638">
        <v>349625</v>
      </c>
      <c r="O638">
        <v>9262</v>
      </c>
      <c r="P638">
        <v>280087</v>
      </c>
      <c r="Q638">
        <v>7.61</v>
      </c>
      <c r="R638">
        <v>22806523</v>
      </c>
      <c r="S638">
        <v>23687412</v>
      </c>
      <c r="T638">
        <v>4334965</v>
      </c>
      <c r="U638">
        <v>19.170000000000002</v>
      </c>
      <c r="V638">
        <v>4.7300000000000004</v>
      </c>
      <c r="W638">
        <v>1546</v>
      </c>
      <c r="X638">
        <v>0.87</v>
      </c>
      <c r="Y638">
        <v>38.08</v>
      </c>
    </row>
    <row r="639" spans="1:25" x14ac:dyDescent="0.3">
      <c r="A639" t="s">
        <v>28</v>
      </c>
      <c r="B639" t="s">
        <v>35</v>
      </c>
      <c r="C639" t="s">
        <v>41</v>
      </c>
      <c r="D639" s="1">
        <v>44834</v>
      </c>
      <c r="E639">
        <v>13262750</v>
      </c>
      <c r="F639">
        <v>19480</v>
      </c>
      <c r="G639">
        <v>22.6</v>
      </c>
      <c r="H639">
        <v>56963</v>
      </c>
      <c r="I639">
        <v>521112</v>
      </c>
      <c r="J639">
        <v>16475</v>
      </c>
      <c r="K639">
        <v>21702</v>
      </c>
      <c r="L639">
        <v>1340</v>
      </c>
      <c r="M639">
        <v>8387</v>
      </c>
      <c r="N639">
        <v>271472</v>
      </c>
      <c r="O639">
        <v>3136</v>
      </c>
      <c r="P639">
        <v>1090301</v>
      </c>
      <c r="Q639">
        <v>24.04</v>
      </c>
      <c r="R639">
        <v>10329242</v>
      </c>
      <c r="S639">
        <v>25037671</v>
      </c>
      <c r="T639">
        <v>18892445</v>
      </c>
      <c r="U639">
        <v>91.13</v>
      </c>
      <c r="V639">
        <v>3.87</v>
      </c>
      <c r="W639">
        <v>2846</v>
      </c>
      <c r="X639">
        <v>2.2999999999999998</v>
      </c>
      <c r="Y639">
        <v>90.32</v>
      </c>
    </row>
    <row r="640" spans="1:25" x14ac:dyDescent="0.3">
      <c r="A640" t="s">
        <v>29</v>
      </c>
      <c r="B640" t="s">
        <v>32</v>
      </c>
      <c r="C640" t="s">
        <v>37</v>
      </c>
      <c r="D640" s="1">
        <v>44835</v>
      </c>
      <c r="E640">
        <v>32527722</v>
      </c>
      <c r="F640">
        <v>15846</v>
      </c>
      <c r="G640">
        <v>22.8</v>
      </c>
      <c r="H640">
        <v>48631</v>
      </c>
      <c r="I640">
        <v>145575</v>
      </c>
      <c r="J640">
        <v>46412</v>
      </c>
      <c r="K640">
        <v>7417</v>
      </c>
      <c r="L640">
        <v>173</v>
      </c>
      <c r="M640">
        <v>753766</v>
      </c>
      <c r="N640">
        <v>283930</v>
      </c>
      <c r="O640">
        <v>9154</v>
      </c>
      <c r="P640">
        <v>1881442</v>
      </c>
      <c r="Q640">
        <v>2.11</v>
      </c>
      <c r="R640">
        <v>43954062</v>
      </c>
      <c r="S640">
        <v>10247166</v>
      </c>
      <c r="T640">
        <v>7142762</v>
      </c>
      <c r="U640">
        <v>1.93</v>
      </c>
      <c r="V640">
        <v>5.21</v>
      </c>
      <c r="W640">
        <v>4531</v>
      </c>
      <c r="X640">
        <v>1.84</v>
      </c>
      <c r="Y640">
        <v>2.1</v>
      </c>
    </row>
    <row r="641" spans="1:25" x14ac:dyDescent="0.3">
      <c r="A641" t="s">
        <v>28</v>
      </c>
      <c r="B641" t="s">
        <v>34</v>
      </c>
      <c r="C641" t="s">
        <v>41</v>
      </c>
      <c r="D641" s="1">
        <v>44836</v>
      </c>
      <c r="E641">
        <v>25934984</v>
      </c>
      <c r="F641">
        <v>1280</v>
      </c>
      <c r="G641">
        <v>31.8</v>
      </c>
      <c r="H641">
        <v>50316</v>
      </c>
      <c r="I641">
        <v>55943</v>
      </c>
      <c r="J641">
        <v>43876</v>
      </c>
      <c r="K641">
        <v>17264</v>
      </c>
      <c r="L641">
        <v>469</v>
      </c>
      <c r="M641">
        <v>25418</v>
      </c>
      <c r="N641">
        <v>12020</v>
      </c>
      <c r="O641">
        <v>6618</v>
      </c>
      <c r="P641">
        <v>1921759</v>
      </c>
      <c r="Q641">
        <v>20.67</v>
      </c>
      <c r="R641">
        <v>11753979</v>
      </c>
      <c r="S641">
        <v>24284844</v>
      </c>
      <c r="T641">
        <v>25412621</v>
      </c>
      <c r="U641">
        <v>65.34</v>
      </c>
      <c r="V641">
        <v>8.77</v>
      </c>
      <c r="W641">
        <v>979</v>
      </c>
      <c r="X641">
        <v>3.44</v>
      </c>
      <c r="Y641">
        <v>47.46</v>
      </c>
    </row>
    <row r="642" spans="1:25" x14ac:dyDescent="0.3">
      <c r="A642" t="s">
        <v>25</v>
      </c>
      <c r="B642" t="s">
        <v>36</v>
      </c>
      <c r="C642" t="s">
        <v>38</v>
      </c>
      <c r="D642" s="1">
        <v>44837</v>
      </c>
      <c r="E642">
        <v>22347630</v>
      </c>
      <c r="F642">
        <v>10677</v>
      </c>
      <c r="G642">
        <v>37.1</v>
      </c>
      <c r="H642">
        <v>60342</v>
      </c>
      <c r="I642">
        <v>76839</v>
      </c>
      <c r="J642">
        <v>29011</v>
      </c>
      <c r="K642">
        <v>15244</v>
      </c>
      <c r="L642">
        <v>344</v>
      </c>
      <c r="M642">
        <v>822429</v>
      </c>
      <c r="N642">
        <v>7532</v>
      </c>
      <c r="O642">
        <v>5265</v>
      </c>
      <c r="P642">
        <v>535398</v>
      </c>
      <c r="Q642">
        <v>5.25</v>
      </c>
      <c r="R642">
        <v>28065616</v>
      </c>
      <c r="S642">
        <v>22467918</v>
      </c>
      <c r="T642">
        <v>16207628</v>
      </c>
      <c r="U642">
        <v>38.44</v>
      </c>
      <c r="V642">
        <v>7.87</v>
      </c>
      <c r="W642">
        <v>3374</v>
      </c>
      <c r="X642">
        <v>4.84</v>
      </c>
      <c r="Y642">
        <v>93.12</v>
      </c>
    </row>
    <row r="643" spans="1:25" x14ac:dyDescent="0.3">
      <c r="A643" t="s">
        <v>31</v>
      </c>
      <c r="B643" t="s">
        <v>36</v>
      </c>
      <c r="C643" t="s">
        <v>39</v>
      </c>
      <c r="D643" s="1">
        <v>44838</v>
      </c>
      <c r="E643">
        <v>39147224</v>
      </c>
      <c r="F643">
        <v>10056</v>
      </c>
      <c r="G643">
        <v>20.6</v>
      </c>
      <c r="H643">
        <v>16504</v>
      </c>
      <c r="I643">
        <v>607962</v>
      </c>
      <c r="J643">
        <v>8128</v>
      </c>
      <c r="K643">
        <v>22221</v>
      </c>
      <c r="L643">
        <v>444</v>
      </c>
      <c r="M643">
        <v>356206</v>
      </c>
      <c r="N643">
        <v>456891</v>
      </c>
      <c r="O643">
        <v>7089</v>
      </c>
      <c r="P643">
        <v>499864</v>
      </c>
      <c r="Q643">
        <v>17.89</v>
      </c>
      <c r="R643">
        <v>35861828</v>
      </c>
      <c r="S643">
        <v>11209939</v>
      </c>
      <c r="T643">
        <v>14039641</v>
      </c>
      <c r="U643">
        <v>67.260000000000005</v>
      </c>
      <c r="V643">
        <v>1.3</v>
      </c>
      <c r="W643">
        <v>4550</v>
      </c>
      <c r="X643">
        <v>1.88</v>
      </c>
      <c r="Y643">
        <v>39.479999999999997</v>
      </c>
    </row>
    <row r="644" spans="1:25" x14ac:dyDescent="0.3">
      <c r="A644" t="s">
        <v>29</v>
      </c>
      <c r="B644" t="s">
        <v>33</v>
      </c>
      <c r="C644" t="s">
        <v>41</v>
      </c>
      <c r="D644" s="1">
        <v>44839</v>
      </c>
      <c r="E644">
        <v>1078526</v>
      </c>
      <c r="F644">
        <v>4983</v>
      </c>
      <c r="G644">
        <v>48.1</v>
      </c>
      <c r="H644">
        <v>69593</v>
      </c>
      <c r="I644">
        <v>550633</v>
      </c>
      <c r="J644">
        <v>32450</v>
      </c>
      <c r="K644">
        <v>29490</v>
      </c>
      <c r="L644">
        <v>1041</v>
      </c>
      <c r="M644">
        <v>716869</v>
      </c>
      <c r="N644">
        <v>110607</v>
      </c>
      <c r="O644">
        <v>7965</v>
      </c>
      <c r="P644">
        <v>1328182</v>
      </c>
      <c r="Q644">
        <v>25.07</v>
      </c>
      <c r="R644">
        <v>6955855</v>
      </c>
      <c r="S644">
        <v>2399414</v>
      </c>
      <c r="T644">
        <v>24389146</v>
      </c>
      <c r="U644">
        <v>58.87</v>
      </c>
      <c r="V644">
        <v>8.9600000000000009</v>
      </c>
      <c r="W644">
        <v>4637</v>
      </c>
      <c r="X644">
        <v>0.4</v>
      </c>
      <c r="Y644">
        <v>42.82</v>
      </c>
    </row>
    <row r="645" spans="1:25" x14ac:dyDescent="0.3">
      <c r="A645" t="s">
        <v>27</v>
      </c>
      <c r="B645" t="s">
        <v>36</v>
      </c>
      <c r="C645" t="s">
        <v>39</v>
      </c>
      <c r="D645" s="1">
        <v>44840</v>
      </c>
      <c r="E645">
        <v>7112208</v>
      </c>
      <c r="F645">
        <v>14345</v>
      </c>
      <c r="G645">
        <v>42.2</v>
      </c>
      <c r="H645">
        <v>27660</v>
      </c>
      <c r="I645">
        <v>250495</v>
      </c>
      <c r="J645">
        <v>18897</v>
      </c>
      <c r="K645">
        <v>47790</v>
      </c>
      <c r="L645">
        <v>1093</v>
      </c>
      <c r="M645">
        <v>274573</v>
      </c>
      <c r="N645">
        <v>392753</v>
      </c>
      <c r="O645">
        <v>9597</v>
      </c>
      <c r="P645">
        <v>1390952</v>
      </c>
      <c r="Q645">
        <v>22.65</v>
      </c>
      <c r="R645">
        <v>4209294</v>
      </c>
      <c r="S645">
        <v>39612346</v>
      </c>
      <c r="T645">
        <v>26502232</v>
      </c>
      <c r="U645">
        <v>22.35</v>
      </c>
      <c r="V645">
        <v>4.9800000000000004</v>
      </c>
      <c r="W645">
        <v>406</v>
      </c>
      <c r="X645">
        <v>4.5</v>
      </c>
      <c r="Y645">
        <v>57.86</v>
      </c>
    </row>
    <row r="646" spans="1:25" x14ac:dyDescent="0.3">
      <c r="A646" t="s">
        <v>29</v>
      </c>
      <c r="B646" t="s">
        <v>35</v>
      </c>
      <c r="C646" t="s">
        <v>39</v>
      </c>
      <c r="D646" s="1">
        <v>44841</v>
      </c>
      <c r="E646">
        <v>48299289</v>
      </c>
      <c r="F646">
        <v>16427</v>
      </c>
      <c r="G646">
        <v>36.799999999999997</v>
      </c>
      <c r="H646">
        <v>38196</v>
      </c>
      <c r="I646">
        <v>51390</v>
      </c>
      <c r="J646">
        <v>8168</v>
      </c>
      <c r="K646">
        <v>24856</v>
      </c>
      <c r="L646">
        <v>1361</v>
      </c>
      <c r="M646">
        <v>507008</v>
      </c>
      <c r="N646">
        <v>333969</v>
      </c>
      <c r="O646">
        <v>8708</v>
      </c>
      <c r="P646">
        <v>710441</v>
      </c>
      <c r="Q646">
        <v>22.59</v>
      </c>
      <c r="R646">
        <v>48896297</v>
      </c>
      <c r="S646">
        <v>18367620</v>
      </c>
      <c r="T646">
        <v>2890632</v>
      </c>
      <c r="U646">
        <v>84.72</v>
      </c>
      <c r="V646">
        <v>7.57</v>
      </c>
      <c r="W646">
        <v>4360</v>
      </c>
      <c r="X646">
        <v>0.28999999999999998</v>
      </c>
      <c r="Y646">
        <v>46.29</v>
      </c>
    </row>
    <row r="647" spans="1:25" x14ac:dyDescent="0.3">
      <c r="A647" t="s">
        <v>29</v>
      </c>
      <c r="B647" t="s">
        <v>35</v>
      </c>
      <c r="C647" t="s">
        <v>40</v>
      </c>
      <c r="D647" s="1">
        <v>44842</v>
      </c>
      <c r="E647">
        <v>8087676</v>
      </c>
      <c r="F647">
        <v>253</v>
      </c>
      <c r="G647">
        <v>44.5</v>
      </c>
      <c r="H647">
        <v>66938</v>
      </c>
      <c r="I647">
        <v>751401</v>
      </c>
      <c r="J647">
        <v>6861</v>
      </c>
      <c r="K647">
        <v>42513</v>
      </c>
      <c r="L647">
        <v>627</v>
      </c>
      <c r="M647">
        <v>626989</v>
      </c>
      <c r="N647">
        <v>224747</v>
      </c>
      <c r="O647">
        <v>6569</v>
      </c>
      <c r="P647">
        <v>447015</v>
      </c>
      <c r="Q647">
        <v>15.54</v>
      </c>
      <c r="R647">
        <v>21963245</v>
      </c>
      <c r="S647">
        <v>31624181</v>
      </c>
      <c r="T647">
        <v>9721896</v>
      </c>
      <c r="U647">
        <v>49.19</v>
      </c>
      <c r="V647">
        <v>1.83</v>
      </c>
      <c r="W647">
        <v>4114</v>
      </c>
      <c r="X647">
        <v>4.7699999999999996</v>
      </c>
      <c r="Y647">
        <v>16.86</v>
      </c>
    </row>
    <row r="648" spans="1:25" x14ac:dyDescent="0.3">
      <c r="A648" t="s">
        <v>29</v>
      </c>
      <c r="B648" t="s">
        <v>33</v>
      </c>
      <c r="C648" t="s">
        <v>41</v>
      </c>
      <c r="D648" s="1">
        <v>44843</v>
      </c>
      <c r="E648">
        <v>45788543</v>
      </c>
      <c r="F648">
        <v>16594</v>
      </c>
      <c r="G648">
        <v>20.6</v>
      </c>
      <c r="H648">
        <v>9605</v>
      </c>
      <c r="I648">
        <v>322701</v>
      </c>
      <c r="J648">
        <v>41758</v>
      </c>
      <c r="K648">
        <v>46203</v>
      </c>
      <c r="L648">
        <v>591</v>
      </c>
      <c r="M648">
        <v>520837</v>
      </c>
      <c r="N648">
        <v>165082</v>
      </c>
      <c r="O648">
        <v>1491</v>
      </c>
      <c r="P648">
        <v>591855</v>
      </c>
      <c r="Q648">
        <v>26.72</v>
      </c>
      <c r="R648">
        <v>45605409</v>
      </c>
      <c r="S648">
        <v>35838965</v>
      </c>
      <c r="T648">
        <v>28146991</v>
      </c>
      <c r="U648">
        <v>82.25</v>
      </c>
      <c r="V648">
        <v>6.87</v>
      </c>
      <c r="W648">
        <v>3891</v>
      </c>
      <c r="X648">
        <v>3.36</v>
      </c>
      <c r="Y648">
        <v>1.86</v>
      </c>
    </row>
    <row r="649" spans="1:25" x14ac:dyDescent="0.3">
      <c r="A649" t="s">
        <v>30</v>
      </c>
      <c r="B649" t="s">
        <v>35</v>
      </c>
      <c r="C649" t="s">
        <v>41</v>
      </c>
      <c r="D649" s="1">
        <v>44844</v>
      </c>
      <c r="E649">
        <v>17041989</v>
      </c>
      <c r="F649">
        <v>15949</v>
      </c>
      <c r="G649">
        <v>33.299999999999997</v>
      </c>
      <c r="H649">
        <v>58388</v>
      </c>
      <c r="I649">
        <v>983558</v>
      </c>
      <c r="J649">
        <v>13750</v>
      </c>
      <c r="K649">
        <v>48476</v>
      </c>
      <c r="L649">
        <v>526</v>
      </c>
      <c r="M649">
        <v>734959</v>
      </c>
      <c r="N649">
        <v>121864</v>
      </c>
      <c r="O649">
        <v>5213</v>
      </c>
      <c r="P649">
        <v>483517</v>
      </c>
      <c r="Q649">
        <v>17.64</v>
      </c>
      <c r="R649">
        <v>10615087</v>
      </c>
      <c r="S649">
        <v>3866491</v>
      </c>
      <c r="T649">
        <v>19866891</v>
      </c>
      <c r="U649">
        <v>40.6</v>
      </c>
      <c r="V649">
        <v>2.75</v>
      </c>
      <c r="W649">
        <v>3980</v>
      </c>
      <c r="X649">
        <v>4.71</v>
      </c>
      <c r="Y649">
        <v>60.98</v>
      </c>
    </row>
    <row r="650" spans="1:25" x14ac:dyDescent="0.3">
      <c r="A650" t="s">
        <v>29</v>
      </c>
      <c r="B650" t="s">
        <v>32</v>
      </c>
      <c r="C650" t="s">
        <v>39</v>
      </c>
      <c r="D650" s="1">
        <v>44845</v>
      </c>
      <c r="E650">
        <v>22411760</v>
      </c>
      <c r="F650">
        <v>3798</v>
      </c>
      <c r="G650">
        <v>38.200000000000003</v>
      </c>
      <c r="H650">
        <v>56501</v>
      </c>
      <c r="I650">
        <v>2906</v>
      </c>
      <c r="J650">
        <v>16988</v>
      </c>
      <c r="K650">
        <v>15331</v>
      </c>
      <c r="L650">
        <v>1711</v>
      </c>
      <c r="M650">
        <v>379210</v>
      </c>
      <c r="N650">
        <v>161398</v>
      </c>
      <c r="O650">
        <v>4228</v>
      </c>
      <c r="P650">
        <v>1756160</v>
      </c>
      <c r="Q650">
        <v>27.53</v>
      </c>
      <c r="R650">
        <v>11351506</v>
      </c>
      <c r="S650">
        <v>28954973</v>
      </c>
      <c r="T650">
        <v>2507913</v>
      </c>
      <c r="U650">
        <v>98.47</v>
      </c>
      <c r="V650">
        <v>4.66</v>
      </c>
      <c r="W650">
        <v>4897</v>
      </c>
      <c r="X650">
        <v>1.08</v>
      </c>
      <c r="Y650">
        <v>92.08</v>
      </c>
    </row>
    <row r="651" spans="1:25" x14ac:dyDescent="0.3">
      <c r="A651" t="s">
        <v>28</v>
      </c>
      <c r="B651" t="s">
        <v>33</v>
      </c>
      <c r="C651" t="s">
        <v>38</v>
      </c>
      <c r="D651" s="1">
        <v>44846</v>
      </c>
      <c r="E651">
        <v>1314422</v>
      </c>
      <c r="F651">
        <v>6768</v>
      </c>
      <c r="G651">
        <v>44.5</v>
      </c>
      <c r="H651">
        <v>54309</v>
      </c>
      <c r="I651">
        <v>958671</v>
      </c>
      <c r="J651">
        <v>2979</v>
      </c>
      <c r="K651">
        <v>12656</v>
      </c>
      <c r="L651">
        <v>455</v>
      </c>
      <c r="M651">
        <v>291190</v>
      </c>
      <c r="N651">
        <v>204322</v>
      </c>
      <c r="O651">
        <v>7508</v>
      </c>
      <c r="P651">
        <v>1439145</v>
      </c>
      <c r="Q651">
        <v>16.399999999999999</v>
      </c>
      <c r="R651">
        <v>10400647</v>
      </c>
      <c r="S651">
        <v>38201625</v>
      </c>
      <c r="T651">
        <v>4146181</v>
      </c>
      <c r="U651">
        <v>77.05</v>
      </c>
      <c r="V651">
        <v>0.66</v>
      </c>
      <c r="W651">
        <v>876</v>
      </c>
      <c r="X651">
        <v>0.3</v>
      </c>
      <c r="Y651">
        <v>10.64</v>
      </c>
    </row>
    <row r="652" spans="1:25" x14ac:dyDescent="0.3">
      <c r="A652" t="s">
        <v>31</v>
      </c>
      <c r="B652" t="s">
        <v>32</v>
      </c>
      <c r="C652" t="s">
        <v>40</v>
      </c>
      <c r="D652" s="1">
        <v>44847</v>
      </c>
      <c r="E652">
        <v>22582647</v>
      </c>
      <c r="F652">
        <v>19015</v>
      </c>
      <c r="G652">
        <v>43.1</v>
      </c>
      <c r="H652">
        <v>28043</v>
      </c>
      <c r="I652">
        <v>533249</v>
      </c>
      <c r="J652">
        <v>23524</v>
      </c>
      <c r="K652">
        <v>22127</v>
      </c>
      <c r="L652">
        <v>1292</v>
      </c>
      <c r="M652">
        <v>209996</v>
      </c>
      <c r="N652">
        <v>321343</v>
      </c>
      <c r="O652">
        <v>4409</v>
      </c>
      <c r="P652">
        <v>843495</v>
      </c>
      <c r="Q652">
        <v>15.18</v>
      </c>
      <c r="R652">
        <v>41183470</v>
      </c>
      <c r="S652">
        <v>30660900</v>
      </c>
      <c r="T652">
        <v>8483057</v>
      </c>
      <c r="U652">
        <v>96.6</v>
      </c>
      <c r="V652">
        <v>1.94</v>
      </c>
      <c r="W652">
        <v>715</v>
      </c>
      <c r="X652">
        <v>2.4900000000000002</v>
      </c>
      <c r="Y652">
        <v>21.1</v>
      </c>
    </row>
    <row r="653" spans="1:25" x14ac:dyDescent="0.3">
      <c r="A653" t="s">
        <v>25</v>
      </c>
      <c r="B653" t="s">
        <v>34</v>
      </c>
      <c r="C653" t="s">
        <v>39</v>
      </c>
      <c r="D653" s="1">
        <v>44848</v>
      </c>
      <c r="E653">
        <v>48661585</v>
      </c>
      <c r="F653">
        <v>1143</v>
      </c>
      <c r="G653">
        <v>26.9</v>
      </c>
      <c r="H653">
        <v>34635</v>
      </c>
      <c r="I653">
        <v>158212</v>
      </c>
      <c r="J653">
        <v>7065</v>
      </c>
      <c r="K653">
        <v>4903</v>
      </c>
      <c r="L653">
        <v>1654</v>
      </c>
      <c r="M653">
        <v>693198</v>
      </c>
      <c r="N653">
        <v>112657</v>
      </c>
      <c r="O653">
        <v>590</v>
      </c>
      <c r="P653">
        <v>1162970</v>
      </c>
      <c r="Q653">
        <v>6.67</v>
      </c>
      <c r="R653">
        <v>39217801</v>
      </c>
      <c r="S653">
        <v>10372364</v>
      </c>
      <c r="T653">
        <v>6860961</v>
      </c>
      <c r="U653">
        <v>51.43</v>
      </c>
      <c r="V653">
        <v>1.37</v>
      </c>
      <c r="W653">
        <v>2078</v>
      </c>
      <c r="X653">
        <v>2.31</v>
      </c>
      <c r="Y653">
        <v>37.020000000000003</v>
      </c>
    </row>
    <row r="654" spans="1:25" x14ac:dyDescent="0.3">
      <c r="A654" t="s">
        <v>26</v>
      </c>
      <c r="B654" t="s">
        <v>32</v>
      </c>
      <c r="C654" t="s">
        <v>37</v>
      </c>
      <c r="D654" s="1">
        <v>44849</v>
      </c>
      <c r="E654">
        <v>16906440</v>
      </c>
      <c r="F654">
        <v>15278</v>
      </c>
      <c r="G654">
        <v>48.1</v>
      </c>
      <c r="H654">
        <v>34132</v>
      </c>
      <c r="I654">
        <v>906721</v>
      </c>
      <c r="J654">
        <v>37684</v>
      </c>
      <c r="K654">
        <v>9486</v>
      </c>
      <c r="L654">
        <v>810</v>
      </c>
      <c r="M654">
        <v>427999</v>
      </c>
      <c r="N654">
        <v>349004</v>
      </c>
      <c r="O654">
        <v>7379</v>
      </c>
      <c r="P654">
        <v>1891248</v>
      </c>
      <c r="Q654">
        <v>16.34</v>
      </c>
      <c r="R654">
        <v>33386237</v>
      </c>
      <c r="S654">
        <v>34350616</v>
      </c>
      <c r="T654">
        <v>28490746</v>
      </c>
      <c r="U654">
        <v>47.37</v>
      </c>
      <c r="V654">
        <v>2.78</v>
      </c>
      <c r="W654">
        <v>3741</v>
      </c>
      <c r="X654">
        <v>1.72</v>
      </c>
      <c r="Y654">
        <v>80.87</v>
      </c>
    </row>
    <row r="655" spans="1:25" x14ac:dyDescent="0.3">
      <c r="A655" t="s">
        <v>29</v>
      </c>
      <c r="B655" t="s">
        <v>34</v>
      </c>
      <c r="C655" t="s">
        <v>37</v>
      </c>
      <c r="D655" s="1">
        <v>44850</v>
      </c>
      <c r="E655">
        <v>13163723</v>
      </c>
      <c r="F655">
        <v>16084</v>
      </c>
      <c r="G655">
        <v>22</v>
      </c>
      <c r="H655">
        <v>16366</v>
      </c>
      <c r="I655">
        <v>190773</v>
      </c>
      <c r="J655">
        <v>23184</v>
      </c>
      <c r="K655">
        <v>17280</v>
      </c>
      <c r="L655">
        <v>187</v>
      </c>
      <c r="M655">
        <v>607282</v>
      </c>
      <c r="N655">
        <v>18113</v>
      </c>
      <c r="O655">
        <v>9735</v>
      </c>
      <c r="P655">
        <v>1917360</v>
      </c>
      <c r="Q655">
        <v>4.22</v>
      </c>
      <c r="R655">
        <v>10397188</v>
      </c>
      <c r="S655">
        <v>5455500</v>
      </c>
      <c r="T655">
        <v>4188851</v>
      </c>
      <c r="U655">
        <v>75.55</v>
      </c>
      <c r="V655">
        <v>1.45</v>
      </c>
      <c r="W655">
        <v>2632</v>
      </c>
      <c r="X655">
        <v>4.79</v>
      </c>
      <c r="Y655">
        <v>26.93</v>
      </c>
    </row>
    <row r="656" spans="1:25" x14ac:dyDescent="0.3">
      <c r="A656" t="s">
        <v>27</v>
      </c>
      <c r="B656" t="s">
        <v>34</v>
      </c>
      <c r="C656" t="s">
        <v>40</v>
      </c>
      <c r="D656" s="1">
        <v>44851</v>
      </c>
      <c r="E656">
        <v>28542104</v>
      </c>
      <c r="F656">
        <v>5760</v>
      </c>
      <c r="G656">
        <v>46</v>
      </c>
      <c r="H656">
        <v>63580</v>
      </c>
      <c r="I656">
        <v>340711</v>
      </c>
      <c r="J656">
        <v>33365</v>
      </c>
      <c r="K656">
        <v>21712</v>
      </c>
      <c r="L656">
        <v>1020</v>
      </c>
      <c r="M656">
        <v>471886</v>
      </c>
      <c r="N656">
        <v>21546</v>
      </c>
      <c r="O656">
        <v>3056</v>
      </c>
      <c r="P656">
        <v>149940</v>
      </c>
      <c r="Q656">
        <v>26.09</v>
      </c>
      <c r="R656">
        <v>48227187</v>
      </c>
      <c r="S656">
        <v>9905111</v>
      </c>
      <c r="T656">
        <v>16251688</v>
      </c>
      <c r="U656">
        <v>88.03</v>
      </c>
      <c r="V656">
        <v>7.07</v>
      </c>
      <c r="W656">
        <v>603</v>
      </c>
      <c r="X656">
        <v>4.13</v>
      </c>
      <c r="Y656">
        <v>88.21</v>
      </c>
    </row>
    <row r="657" spans="1:25" x14ac:dyDescent="0.3">
      <c r="A657" t="s">
        <v>29</v>
      </c>
      <c r="B657" t="s">
        <v>32</v>
      </c>
      <c r="C657" t="s">
        <v>38</v>
      </c>
      <c r="D657" s="1">
        <v>44852</v>
      </c>
      <c r="E657">
        <v>20215903</v>
      </c>
      <c r="F657">
        <v>9782</v>
      </c>
      <c r="G657">
        <v>49.1</v>
      </c>
      <c r="H657">
        <v>58889</v>
      </c>
      <c r="I657">
        <v>343808</v>
      </c>
      <c r="J657">
        <v>23704</v>
      </c>
      <c r="K657">
        <v>4392</v>
      </c>
      <c r="L657">
        <v>1592</v>
      </c>
      <c r="M657">
        <v>740647</v>
      </c>
      <c r="N657">
        <v>367453</v>
      </c>
      <c r="O657">
        <v>2206</v>
      </c>
      <c r="P657">
        <v>994477</v>
      </c>
      <c r="Q657">
        <v>20.28</v>
      </c>
      <c r="R657">
        <v>16519028</v>
      </c>
      <c r="S657">
        <v>17211102</v>
      </c>
      <c r="T657">
        <v>4359122</v>
      </c>
      <c r="U657">
        <v>96.41</v>
      </c>
      <c r="V657">
        <v>0.78</v>
      </c>
      <c r="W657">
        <v>377</v>
      </c>
      <c r="X657">
        <v>3.34</v>
      </c>
      <c r="Y657">
        <v>5.5</v>
      </c>
    </row>
    <row r="658" spans="1:25" x14ac:dyDescent="0.3">
      <c r="A658" t="s">
        <v>27</v>
      </c>
      <c r="B658" t="s">
        <v>33</v>
      </c>
      <c r="C658" t="s">
        <v>39</v>
      </c>
      <c r="D658" s="1">
        <v>44853</v>
      </c>
      <c r="E658">
        <v>16692668</v>
      </c>
      <c r="F658">
        <v>19309</v>
      </c>
      <c r="G658">
        <v>23.7</v>
      </c>
      <c r="H658">
        <v>40236</v>
      </c>
      <c r="I658">
        <v>82199</v>
      </c>
      <c r="J658">
        <v>5622</v>
      </c>
      <c r="K658">
        <v>1795</v>
      </c>
      <c r="L658">
        <v>710</v>
      </c>
      <c r="M658">
        <v>309210</v>
      </c>
      <c r="N658">
        <v>496509</v>
      </c>
      <c r="O658">
        <v>2708</v>
      </c>
      <c r="P658">
        <v>344133</v>
      </c>
      <c r="Q658">
        <v>29.81</v>
      </c>
      <c r="R658">
        <v>39148245</v>
      </c>
      <c r="S658">
        <v>7538707</v>
      </c>
      <c r="T658">
        <v>13509125</v>
      </c>
      <c r="U658">
        <v>32.46</v>
      </c>
      <c r="V658">
        <v>6.37</v>
      </c>
      <c r="W658">
        <v>1238</v>
      </c>
      <c r="X658">
        <v>0.9</v>
      </c>
      <c r="Y658">
        <v>94.1</v>
      </c>
    </row>
    <row r="659" spans="1:25" x14ac:dyDescent="0.3">
      <c r="A659" t="s">
        <v>28</v>
      </c>
      <c r="B659" t="s">
        <v>35</v>
      </c>
      <c r="C659" t="s">
        <v>41</v>
      </c>
      <c r="D659" s="1">
        <v>44854</v>
      </c>
      <c r="E659">
        <v>39207867</v>
      </c>
      <c r="F659">
        <v>3241</v>
      </c>
      <c r="G659">
        <v>41.1</v>
      </c>
      <c r="H659">
        <v>5150</v>
      </c>
      <c r="I659">
        <v>786216</v>
      </c>
      <c r="J659">
        <v>18261</v>
      </c>
      <c r="K659">
        <v>45808</v>
      </c>
      <c r="L659">
        <v>528</v>
      </c>
      <c r="M659">
        <v>348108</v>
      </c>
      <c r="N659">
        <v>201547</v>
      </c>
      <c r="O659">
        <v>5981</v>
      </c>
      <c r="P659">
        <v>1071798</v>
      </c>
      <c r="Q659">
        <v>2.76</v>
      </c>
      <c r="R659">
        <v>26565995</v>
      </c>
      <c r="S659">
        <v>8808263</v>
      </c>
      <c r="T659">
        <v>15856513</v>
      </c>
      <c r="U659">
        <v>79.87</v>
      </c>
      <c r="V659">
        <v>1.84</v>
      </c>
      <c r="W659">
        <v>199</v>
      </c>
      <c r="X659">
        <v>3.7</v>
      </c>
      <c r="Y659">
        <v>56.07</v>
      </c>
    </row>
    <row r="660" spans="1:25" x14ac:dyDescent="0.3">
      <c r="A660" t="s">
        <v>27</v>
      </c>
      <c r="B660" t="s">
        <v>35</v>
      </c>
      <c r="C660" t="s">
        <v>40</v>
      </c>
      <c r="D660" s="1">
        <v>44855</v>
      </c>
      <c r="E660">
        <v>35471274</v>
      </c>
      <c r="F660">
        <v>18271</v>
      </c>
      <c r="G660">
        <v>19.3</v>
      </c>
      <c r="H660">
        <v>20423</v>
      </c>
      <c r="I660">
        <v>100764</v>
      </c>
      <c r="J660">
        <v>44932</v>
      </c>
      <c r="K660">
        <v>11745</v>
      </c>
      <c r="L660">
        <v>433</v>
      </c>
      <c r="M660">
        <v>758641</v>
      </c>
      <c r="N660">
        <v>455825</v>
      </c>
      <c r="O660">
        <v>5722</v>
      </c>
      <c r="P660">
        <v>80794</v>
      </c>
      <c r="Q660">
        <v>7.22</v>
      </c>
      <c r="R660">
        <v>2214934</v>
      </c>
      <c r="S660">
        <v>35026034</v>
      </c>
      <c r="T660">
        <v>16016142</v>
      </c>
      <c r="U660">
        <v>21.06</v>
      </c>
      <c r="V660">
        <v>9.48</v>
      </c>
      <c r="W660">
        <v>4802</v>
      </c>
      <c r="X660">
        <v>3.66</v>
      </c>
      <c r="Y660">
        <v>65.88</v>
      </c>
    </row>
    <row r="661" spans="1:25" x14ac:dyDescent="0.3">
      <c r="A661" t="s">
        <v>26</v>
      </c>
      <c r="B661" t="s">
        <v>34</v>
      </c>
      <c r="C661" t="s">
        <v>38</v>
      </c>
      <c r="D661" s="1">
        <v>44856</v>
      </c>
      <c r="E661">
        <v>4189024</v>
      </c>
      <c r="F661">
        <v>739</v>
      </c>
      <c r="G661">
        <v>31</v>
      </c>
      <c r="H661">
        <v>5137</v>
      </c>
      <c r="I661">
        <v>999722</v>
      </c>
      <c r="J661">
        <v>28419</v>
      </c>
      <c r="K661">
        <v>30187</v>
      </c>
      <c r="L661">
        <v>287</v>
      </c>
      <c r="M661">
        <v>128779</v>
      </c>
      <c r="N661">
        <v>102361</v>
      </c>
      <c r="O661">
        <v>747</v>
      </c>
      <c r="P661">
        <v>1637788</v>
      </c>
      <c r="Q661">
        <v>26.31</v>
      </c>
      <c r="R661">
        <v>35985932</v>
      </c>
      <c r="S661">
        <v>22824830</v>
      </c>
      <c r="T661">
        <v>4308368</v>
      </c>
      <c r="U661">
        <v>54.56</v>
      </c>
      <c r="V661">
        <v>9.36</v>
      </c>
      <c r="W661">
        <v>2903</v>
      </c>
      <c r="X661">
        <v>2.1800000000000002</v>
      </c>
      <c r="Y661">
        <v>36.770000000000003</v>
      </c>
    </row>
    <row r="662" spans="1:25" x14ac:dyDescent="0.3">
      <c r="A662" t="s">
        <v>31</v>
      </c>
      <c r="B662" t="s">
        <v>34</v>
      </c>
      <c r="C662" t="s">
        <v>41</v>
      </c>
      <c r="D662" s="1">
        <v>44857</v>
      </c>
      <c r="E662">
        <v>21673866</v>
      </c>
      <c r="F662">
        <v>2153</v>
      </c>
      <c r="G662">
        <v>34.5</v>
      </c>
      <c r="H662">
        <v>30992</v>
      </c>
      <c r="I662">
        <v>123357</v>
      </c>
      <c r="J662">
        <v>34467</v>
      </c>
      <c r="K662">
        <v>30722</v>
      </c>
      <c r="L662">
        <v>1941</v>
      </c>
      <c r="M662">
        <v>82491</v>
      </c>
      <c r="N662">
        <v>357983</v>
      </c>
      <c r="O662">
        <v>8992</v>
      </c>
      <c r="P662">
        <v>625142</v>
      </c>
      <c r="Q662">
        <v>11.86</v>
      </c>
      <c r="R662">
        <v>28106480</v>
      </c>
      <c r="S662">
        <v>26542780</v>
      </c>
      <c r="T662">
        <v>3943183</v>
      </c>
      <c r="U662">
        <v>17.98</v>
      </c>
      <c r="V662">
        <v>2.64</v>
      </c>
      <c r="W662">
        <v>1986</v>
      </c>
      <c r="X662">
        <v>4.63</v>
      </c>
      <c r="Y662">
        <v>78.2</v>
      </c>
    </row>
    <row r="663" spans="1:25" x14ac:dyDescent="0.3">
      <c r="A663" t="s">
        <v>27</v>
      </c>
      <c r="B663" t="s">
        <v>33</v>
      </c>
      <c r="C663" t="s">
        <v>37</v>
      </c>
      <c r="D663" s="1">
        <v>44858</v>
      </c>
      <c r="E663">
        <v>20979634</v>
      </c>
      <c r="F663">
        <v>415</v>
      </c>
      <c r="G663">
        <v>36.6</v>
      </c>
      <c r="H663">
        <v>45921</v>
      </c>
      <c r="I663">
        <v>343873</v>
      </c>
      <c r="J663">
        <v>25605</v>
      </c>
      <c r="K663">
        <v>16689</v>
      </c>
      <c r="L663">
        <v>1590</v>
      </c>
      <c r="M663">
        <v>355324</v>
      </c>
      <c r="N663">
        <v>262801</v>
      </c>
      <c r="O663">
        <v>6553</v>
      </c>
      <c r="P663">
        <v>1914521</v>
      </c>
      <c r="Q663">
        <v>13.99</v>
      </c>
      <c r="R663">
        <v>5499903</v>
      </c>
      <c r="S663">
        <v>31521747</v>
      </c>
      <c r="T663">
        <v>21591195</v>
      </c>
      <c r="U663">
        <v>34.74</v>
      </c>
      <c r="V663">
        <v>6.34</v>
      </c>
      <c r="W663">
        <v>4438</v>
      </c>
      <c r="X663">
        <v>0.92</v>
      </c>
      <c r="Y663">
        <v>16.66</v>
      </c>
    </row>
    <row r="664" spans="1:25" x14ac:dyDescent="0.3">
      <c r="A664" t="s">
        <v>27</v>
      </c>
      <c r="B664" t="s">
        <v>36</v>
      </c>
      <c r="C664" t="s">
        <v>37</v>
      </c>
      <c r="D664" s="1">
        <v>44859</v>
      </c>
      <c r="E664">
        <v>11170216</v>
      </c>
      <c r="F664">
        <v>14060</v>
      </c>
      <c r="G664">
        <v>47.9</v>
      </c>
      <c r="H664">
        <v>67917</v>
      </c>
      <c r="I664">
        <v>422777</v>
      </c>
      <c r="J664">
        <v>29171</v>
      </c>
      <c r="K664">
        <v>43023</v>
      </c>
      <c r="L664">
        <v>498</v>
      </c>
      <c r="M664">
        <v>290657</v>
      </c>
      <c r="N664">
        <v>423982</v>
      </c>
      <c r="O664">
        <v>1497</v>
      </c>
      <c r="P664">
        <v>785326</v>
      </c>
      <c r="Q664">
        <v>25.82</v>
      </c>
      <c r="R664">
        <v>40177243</v>
      </c>
      <c r="S664">
        <v>16093134</v>
      </c>
      <c r="T664">
        <v>19558484</v>
      </c>
      <c r="U664">
        <v>93.14</v>
      </c>
      <c r="V664">
        <v>0.77</v>
      </c>
      <c r="W664">
        <v>2786</v>
      </c>
      <c r="X664">
        <v>1.41</v>
      </c>
      <c r="Y664">
        <v>4.8899999999999997</v>
      </c>
    </row>
    <row r="665" spans="1:25" x14ac:dyDescent="0.3">
      <c r="A665" t="s">
        <v>31</v>
      </c>
      <c r="B665" t="s">
        <v>32</v>
      </c>
      <c r="C665" t="s">
        <v>41</v>
      </c>
      <c r="D665" s="1">
        <v>44860</v>
      </c>
      <c r="E665">
        <v>31307713</v>
      </c>
      <c r="F665">
        <v>11817</v>
      </c>
      <c r="G665">
        <v>39.5</v>
      </c>
      <c r="H665">
        <v>35235</v>
      </c>
      <c r="I665">
        <v>313712</v>
      </c>
      <c r="J665">
        <v>22164</v>
      </c>
      <c r="K665">
        <v>35375</v>
      </c>
      <c r="L665">
        <v>1464</v>
      </c>
      <c r="M665">
        <v>52632</v>
      </c>
      <c r="N665">
        <v>168561</v>
      </c>
      <c r="O665">
        <v>1379</v>
      </c>
      <c r="P665">
        <v>842081</v>
      </c>
      <c r="Q665">
        <v>15.65</v>
      </c>
      <c r="R665">
        <v>38941291</v>
      </c>
      <c r="S665">
        <v>24021017</v>
      </c>
      <c r="T665">
        <v>23000775</v>
      </c>
      <c r="U665">
        <v>14.61</v>
      </c>
      <c r="V665">
        <v>9.35</v>
      </c>
      <c r="W665">
        <v>1006</v>
      </c>
      <c r="X665">
        <v>0.41</v>
      </c>
      <c r="Y665">
        <v>39.549999999999997</v>
      </c>
    </row>
    <row r="666" spans="1:25" x14ac:dyDescent="0.3">
      <c r="A666" t="s">
        <v>26</v>
      </c>
      <c r="B666" t="s">
        <v>34</v>
      </c>
      <c r="C666" t="s">
        <v>40</v>
      </c>
      <c r="D666" s="1">
        <v>44861</v>
      </c>
      <c r="E666">
        <v>4141771</v>
      </c>
      <c r="F666">
        <v>16153</v>
      </c>
      <c r="G666">
        <v>33.4</v>
      </c>
      <c r="H666">
        <v>20122</v>
      </c>
      <c r="I666">
        <v>896781</v>
      </c>
      <c r="J666">
        <v>49868</v>
      </c>
      <c r="K666">
        <v>17074</v>
      </c>
      <c r="L666">
        <v>1804</v>
      </c>
      <c r="M666">
        <v>255569</v>
      </c>
      <c r="N666">
        <v>178872</v>
      </c>
      <c r="O666">
        <v>8871</v>
      </c>
      <c r="P666">
        <v>366130</v>
      </c>
      <c r="Q666">
        <v>5.8</v>
      </c>
      <c r="R666">
        <v>44188600</v>
      </c>
      <c r="S666">
        <v>13363108</v>
      </c>
      <c r="T666">
        <v>5952521</v>
      </c>
      <c r="U666">
        <v>63.24</v>
      </c>
      <c r="V666">
        <v>5.47</v>
      </c>
      <c r="W666">
        <v>3298</v>
      </c>
      <c r="X666">
        <v>4</v>
      </c>
      <c r="Y666">
        <v>85.37</v>
      </c>
    </row>
    <row r="667" spans="1:25" x14ac:dyDescent="0.3">
      <c r="A667" t="s">
        <v>29</v>
      </c>
      <c r="B667" t="s">
        <v>35</v>
      </c>
      <c r="C667" t="s">
        <v>37</v>
      </c>
      <c r="D667" s="1">
        <v>44862</v>
      </c>
      <c r="E667">
        <v>40482531</v>
      </c>
      <c r="F667">
        <v>12792</v>
      </c>
      <c r="G667">
        <v>43.9</v>
      </c>
      <c r="H667">
        <v>24956</v>
      </c>
      <c r="I667">
        <v>860734</v>
      </c>
      <c r="J667">
        <v>46197</v>
      </c>
      <c r="K667">
        <v>30573</v>
      </c>
      <c r="L667">
        <v>302</v>
      </c>
      <c r="M667">
        <v>486214</v>
      </c>
      <c r="N667">
        <v>130978</v>
      </c>
      <c r="O667">
        <v>7360</v>
      </c>
      <c r="P667">
        <v>769103</v>
      </c>
      <c r="Q667">
        <v>26.76</v>
      </c>
      <c r="R667">
        <v>4017380</v>
      </c>
      <c r="S667">
        <v>16502140</v>
      </c>
      <c r="T667">
        <v>11452553</v>
      </c>
      <c r="U667">
        <v>59.3</v>
      </c>
      <c r="V667">
        <v>0.91</v>
      </c>
      <c r="W667">
        <v>465</v>
      </c>
      <c r="X667">
        <v>3.15</v>
      </c>
      <c r="Y667">
        <v>75.489999999999995</v>
      </c>
    </row>
    <row r="668" spans="1:25" x14ac:dyDescent="0.3">
      <c r="A668" t="s">
        <v>27</v>
      </c>
      <c r="B668" t="s">
        <v>33</v>
      </c>
      <c r="C668" t="s">
        <v>39</v>
      </c>
      <c r="D668" s="1">
        <v>44863</v>
      </c>
      <c r="E668">
        <v>33495939</v>
      </c>
      <c r="F668">
        <v>12441</v>
      </c>
      <c r="G668">
        <v>48.4</v>
      </c>
      <c r="H668">
        <v>64879</v>
      </c>
      <c r="I668">
        <v>620256</v>
      </c>
      <c r="J668">
        <v>13796</v>
      </c>
      <c r="K668">
        <v>33102</v>
      </c>
      <c r="L668">
        <v>86</v>
      </c>
      <c r="M668">
        <v>683944</v>
      </c>
      <c r="N668">
        <v>99243</v>
      </c>
      <c r="O668">
        <v>3770</v>
      </c>
      <c r="P668">
        <v>871181</v>
      </c>
      <c r="Q668">
        <v>0.93</v>
      </c>
      <c r="R668">
        <v>49114775</v>
      </c>
      <c r="S668">
        <v>27165194</v>
      </c>
      <c r="T668">
        <v>15655665</v>
      </c>
      <c r="U668">
        <v>12.07</v>
      </c>
      <c r="V668">
        <v>3.75</v>
      </c>
      <c r="W668">
        <v>3504</v>
      </c>
      <c r="X668">
        <v>1.64</v>
      </c>
      <c r="Y668">
        <v>51.72</v>
      </c>
    </row>
    <row r="669" spans="1:25" x14ac:dyDescent="0.3">
      <c r="A669" t="s">
        <v>31</v>
      </c>
      <c r="B669" t="s">
        <v>32</v>
      </c>
      <c r="C669" t="s">
        <v>41</v>
      </c>
      <c r="D669" s="1">
        <v>44864</v>
      </c>
      <c r="E669">
        <v>4579441</v>
      </c>
      <c r="F669">
        <v>4222</v>
      </c>
      <c r="G669">
        <v>18.7</v>
      </c>
      <c r="H669">
        <v>59560</v>
      </c>
      <c r="I669">
        <v>161576</v>
      </c>
      <c r="J669">
        <v>36854</v>
      </c>
      <c r="K669">
        <v>47938</v>
      </c>
      <c r="L669">
        <v>829</v>
      </c>
      <c r="M669">
        <v>894787</v>
      </c>
      <c r="N669">
        <v>24678</v>
      </c>
      <c r="O669">
        <v>3342</v>
      </c>
      <c r="P669">
        <v>234127</v>
      </c>
      <c r="Q669">
        <v>26.86</v>
      </c>
      <c r="R669">
        <v>46086944</v>
      </c>
      <c r="S669">
        <v>33893213</v>
      </c>
      <c r="T669">
        <v>28257161</v>
      </c>
      <c r="U669">
        <v>32.6</v>
      </c>
      <c r="V669">
        <v>1.23</v>
      </c>
      <c r="W669">
        <v>2695</v>
      </c>
      <c r="X669">
        <v>0.9</v>
      </c>
      <c r="Y669">
        <v>57.21</v>
      </c>
    </row>
    <row r="670" spans="1:25" x14ac:dyDescent="0.3">
      <c r="A670" t="s">
        <v>28</v>
      </c>
      <c r="B670" t="s">
        <v>33</v>
      </c>
      <c r="C670" t="s">
        <v>41</v>
      </c>
      <c r="D670" s="1">
        <v>44865</v>
      </c>
      <c r="E670">
        <v>5856430</v>
      </c>
      <c r="F670">
        <v>15673</v>
      </c>
      <c r="G670">
        <v>49.4</v>
      </c>
      <c r="H670">
        <v>69685</v>
      </c>
      <c r="I670">
        <v>903548</v>
      </c>
      <c r="J670">
        <v>31320</v>
      </c>
      <c r="K670">
        <v>26877</v>
      </c>
      <c r="L670">
        <v>437</v>
      </c>
      <c r="M670">
        <v>677003</v>
      </c>
      <c r="N670">
        <v>74879</v>
      </c>
      <c r="O670">
        <v>9088</v>
      </c>
      <c r="P670">
        <v>505434</v>
      </c>
      <c r="Q670">
        <v>1.52</v>
      </c>
      <c r="R670">
        <v>21343123</v>
      </c>
      <c r="S670">
        <v>25457746</v>
      </c>
      <c r="T670">
        <v>25252552</v>
      </c>
      <c r="U670">
        <v>56.3</v>
      </c>
      <c r="V670">
        <v>4.2300000000000004</v>
      </c>
      <c r="W670">
        <v>3824</v>
      </c>
      <c r="X670">
        <v>0.3</v>
      </c>
      <c r="Y670">
        <v>12.99</v>
      </c>
    </row>
    <row r="671" spans="1:25" x14ac:dyDescent="0.3">
      <c r="A671" t="s">
        <v>31</v>
      </c>
      <c r="B671" t="s">
        <v>32</v>
      </c>
      <c r="C671" t="s">
        <v>37</v>
      </c>
      <c r="D671" s="1">
        <v>44866</v>
      </c>
      <c r="E671">
        <v>24052818</v>
      </c>
      <c r="F671">
        <v>2428</v>
      </c>
      <c r="G671">
        <v>20.8</v>
      </c>
      <c r="H671">
        <v>25660</v>
      </c>
      <c r="I671">
        <v>824578</v>
      </c>
      <c r="J671">
        <v>665</v>
      </c>
      <c r="K671">
        <v>45392</v>
      </c>
      <c r="L671">
        <v>540</v>
      </c>
      <c r="M671">
        <v>92127</v>
      </c>
      <c r="N671">
        <v>140768</v>
      </c>
      <c r="O671">
        <v>1546</v>
      </c>
      <c r="P671">
        <v>1190871</v>
      </c>
      <c r="Q671">
        <v>19.98</v>
      </c>
      <c r="R671">
        <v>3485627</v>
      </c>
      <c r="S671">
        <v>32219685</v>
      </c>
      <c r="T671">
        <v>5421211</v>
      </c>
      <c r="U671">
        <v>18.72</v>
      </c>
      <c r="V671">
        <v>6.86</v>
      </c>
      <c r="W671">
        <v>134</v>
      </c>
      <c r="X671">
        <v>0.92</v>
      </c>
      <c r="Y671">
        <v>84.07</v>
      </c>
    </row>
    <row r="672" spans="1:25" x14ac:dyDescent="0.3">
      <c r="A672" t="s">
        <v>28</v>
      </c>
      <c r="B672" t="s">
        <v>32</v>
      </c>
      <c r="C672" t="s">
        <v>40</v>
      </c>
      <c r="D672" s="1">
        <v>44867</v>
      </c>
      <c r="E672">
        <v>2688370</v>
      </c>
      <c r="F672">
        <v>17639</v>
      </c>
      <c r="G672">
        <v>44.1</v>
      </c>
      <c r="H672">
        <v>2168</v>
      </c>
      <c r="I672">
        <v>565585</v>
      </c>
      <c r="J672">
        <v>32694</v>
      </c>
      <c r="K672">
        <v>33764</v>
      </c>
      <c r="L672">
        <v>1045</v>
      </c>
      <c r="M672">
        <v>123272</v>
      </c>
      <c r="N672">
        <v>319744</v>
      </c>
      <c r="O672">
        <v>3126</v>
      </c>
      <c r="P672">
        <v>1228814</v>
      </c>
      <c r="Q672">
        <v>2.15</v>
      </c>
      <c r="R672">
        <v>15010991</v>
      </c>
      <c r="S672">
        <v>21092438</v>
      </c>
      <c r="T672">
        <v>22694295</v>
      </c>
      <c r="U672">
        <v>80.06</v>
      </c>
      <c r="V672">
        <v>4.96</v>
      </c>
      <c r="W672">
        <v>1985</v>
      </c>
      <c r="X672">
        <v>2.3199999999999998</v>
      </c>
      <c r="Y672">
        <v>78.7</v>
      </c>
    </row>
    <row r="673" spans="1:25" x14ac:dyDescent="0.3">
      <c r="A673" t="s">
        <v>26</v>
      </c>
      <c r="B673" t="s">
        <v>34</v>
      </c>
      <c r="C673" t="s">
        <v>39</v>
      </c>
      <c r="D673" s="1">
        <v>44868</v>
      </c>
      <c r="E673">
        <v>16361936</v>
      </c>
      <c r="F673">
        <v>12081</v>
      </c>
      <c r="G673">
        <v>27</v>
      </c>
      <c r="H673">
        <v>46124</v>
      </c>
      <c r="I673">
        <v>611682</v>
      </c>
      <c r="J673">
        <v>24230</v>
      </c>
      <c r="K673">
        <v>19512</v>
      </c>
      <c r="L673">
        <v>832</v>
      </c>
      <c r="M673">
        <v>229915</v>
      </c>
      <c r="N673">
        <v>72634</v>
      </c>
      <c r="O673">
        <v>5889</v>
      </c>
      <c r="P673">
        <v>40369</v>
      </c>
      <c r="Q673">
        <v>21.19</v>
      </c>
      <c r="R673">
        <v>34279743</v>
      </c>
      <c r="S673">
        <v>27090868</v>
      </c>
      <c r="T673">
        <v>17931488</v>
      </c>
      <c r="U673">
        <v>97.22</v>
      </c>
      <c r="V673">
        <v>4.1500000000000004</v>
      </c>
      <c r="W673">
        <v>1466</v>
      </c>
      <c r="X673">
        <v>1.31</v>
      </c>
      <c r="Y673">
        <v>65.650000000000006</v>
      </c>
    </row>
    <row r="674" spans="1:25" x14ac:dyDescent="0.3">
      <c r="A674" t="s">
        <v>29</v>
      </c>
      <c r="B674" t="s">
        <v>33</v>
      </c>
      <c r="C674" t="s">
        <v>40</v>
      </c>
      <c r="D674" s="1">
        <v>44869</v>
      </c>
      <c r="E674">
        <v>10437093</v>
      </c>
      <c r="F674">
        <v>5719</v>
      </c>
      <c r="G674">
        <v>22.2</v>
      </c>
      <c r="H674">
        <v>36897</v>
      </c>
      <c r="I674">
        <v>914605</v>
      </c>
      <c r="J674">
        <v>22995</v>
      </c>
      <c r="K674">
        <v>770</v>
      </c>
      <c r="L674">
        <v>796</v>
      </c>
      <c r="M674">
        <v>666082</v>
      </c>
      <c r="N674">
        <v>272373</v>
      </c>
      <c r="O674">
        <v>6208</v>
      </c>
      <c r="P674">
        <v>873811</v>
      </c>
      <c r="Q674">
        <v>1.02</v>
      </c>
      <c r="R674">
        <v>41602333</v>
      </c>
      <c r="S674">
        <v>3597120</v>
      </c>
      <c r="T674">
        <v>24109635</v>
      </c>
      <c r="U674">
        <v>21.48</v>
      </c>
      <c r="V674">
        <v>1.63</v>
      </c>
      <c r="W674">
        <v>1120</v>
      </c>
      <c r="X674">
        <v>1.37</v>
      </c>
      <c r="Y674">
        <v>46.62</v>
      </c>
    </row>
    <row r="675" spans="1:25" x14ac:dyDescent="0.3">
      <c r="A675" t="s">
        <v>31</v>
      </c>
      <c r="B675" t="s">
        <v>33</v>
      </c>
      <c r="C675" t="s">
        <v>38</v>
      </c>
      <c r="D675" s="1">
        <v>44870</v>
      </c>
      <c r="E675">
        <v>10455951</v>
      </c>
      <c r="F675">
        <v>2785</v>
      </c>
      <c r="G675">
        <v>32.1</v>
      </c>
      <c r="H675">
        <v>16032</v>
      </c>
      <c r="I675">
        <v>913374</v>
      </c>
      <c r="J675">
        <v>26784</v>
      </c>
      <c r="K675">
        <v>24152</v>
      </c>
      <c r="L675">
        <v>559</v>
      </c>
      <c r="M675">
        <v>513777</v>
      </c>
      <c r="N675">
        <v>456710</v>
      </c>
      <c r="O675">
        <v>8875</v>
      </c>
      <c r="P675">
        <v>1905400</v>
      </c>
      <c r="Q675">
        <v>25.27</v>
      </c>
      <c r="R675">
        <v>4060011</v>
      </c>
      <c r="S675">
        <v>13038530</v>
      </c>
      <c r="T675">
        <v>273591</v>
      </c>
      <c r="U675">
        <v>18.690000000000001</v>
      </c>
      <c r="V675">
        <v>2.83</v>
      </c>
      <c r="W675">
        <v>3462</v>
      </c>
      <c r="X675">
        <v>4.3899999999999997</v>
      </c>
      <c r="Y675">
        <v>96.45</v>
      </c>
    </row>
    <row r="676" spans="1:25" x14ac:dyDescent="0.3">
      <c r="A676" t="s">
        <v>25</v>
      </c>
      <c r="B676" t="s">
        <v>35</v>
      </c>
      <c r="C676" t="s">
        <v>38</v>
      </c>
      <c r="D676" s="1">
        <v>44871</v>
      </c>
      <c r="E676">
        <v>47544555</v>
      </c>
      <c r="F676">
        <v>9917</v>
      </c>
      <c r="G676">
        <v>38.6</v>
      </c>
      <c r="H676">
        <v>53797</v>
      </c>
      <c r="I676">
        <v>462823</v>
      </c>
      <c r="J676">
        <v>14605</v>
      </c>
      <c r="K676">
        <v>44663</v>
      </c>
      <c r="L676">
        <v>1540</v>
      </c>
      <c r="M676">
        <v>259513</v>
      </c>
      <c r="N676">
        <v>197218</v>
      </c>
      <c r="O676">
        <v>1295</v>
      </c>
      <c r="P676">
        <v>1848669</v>
      </c>
      <c r="Q676">
        <v>13.98</v>
      </c>
      <c r="R676">
        <v>4987208</v>
      </c>
      <c r="S676">
        <v>39747869</v>
      </c>
      <c r="T676">
        <v>22138050</v>
      </c>
      <c r="U676">
        <v>45.49</v>
      </c>
      <c r="V676">
        <v>1.45</v>
      </c>
      <c r="W676">
        <v>1571</v>
      </c>
      <c r="X676">
        <v>2.62</v>
      </c>
      <c r="Y676">
        <v>87.9</v>
      </c>
    </row>
    <row r="677" spans="1:25" x14ac:dyDescent="0.3">
      <c r="A677" t="s">
        <v>25</v>
      </c>
      <c r="B677" t="s">
        <v>35</v>
      </c>
      <c r="C677" t="s">
        <v>37</v>
      </c>
      <c r="D677" s="1">
        <v>44872</v>
      </c>
      <c r="E677">
        <v>14523346</v>
      </c>
      <c r="F677">
        <v>8540</v>
      </c>
      <c r="G677">
        <v>30.2</v>
      </c>
      <c r="H677">
        <v>36294</v>
      </c>
      <c r="I677">
        <v>17939</v>
      </c>
      <c r="J677">
        <v>17463</v>
      </c>
      <c r="K677">
        <v>42006</v>
      </c>
      <c r="L677">
        <v>761</v>
      </c>
      <c r="M677">
        <v>851000</v>
      </c>
      <c r="N677">
        <v>273840</v>
      </c>
      <c r="O677">
        <v>1385</v>
      </c>
      <c r="P677">
        <v>1720527</v>
      </c>
      <c r="Q677">
        <v>2.8</v>
      </c>
      <c r="R677">
        <v>24532844</v>
      </c>
      <c r="S677">
        <v>25938617</v>
      </c>
      <c r="T677">
        <v>2183721</v>
      </c>
      <c r="U677">
        <v>74.78</v>
      </c>
      <c r="V677">
        <v>8.17</v>
      </c>
      <c r="W677">
        <v>1551</v>
      </c>
      <c r="X677">
        <v>3.67</v>
      </c>
      <c r="Y677">
        <v>64.44</v>
      </c>
    </row>
    <row r="678" spans="1:25" x14ac:dyDescent="0.3">
      <c r="A678" t="s">
        <v>30</v>
      </c>
      <c r="B678" t="s">
        <v>34</v>
      </c>
      <c r="C678" t="s">
        <v>37</v>
      </c>
      <c r="D678" s="1">
        <v>44873</v>
      </c>
      <c r="E678">
        <v>48451268</v>
      </c>
      <c r="F678">
        <v>1006</v>
      </c>
      <c r="G678">
        <v>19.7</v>
      </c>
      <c r="H678">
        <v>44827</v>
      </c>
      <c r="I678">
        <v>444931</v>
      </c>
      <c r="J678">
        <v>8419</v>
      </c>
      <c r="K678">
        <v>17300</v>
      </c>
      <c r="L678">
        <v>1698</v>
      </c>
      <c r="M678">
        <v>417665</v>
      </c>
      <c r="N678">
        <v>65455</v>
      </c>
      <c r="O678">
        <v>942</v>
      </c>
      <c r="P678">
        <v>334862</v>
      </c>
      <c r="Q678">
        <v>21.2</v>
      </c>
      <c r="R678">
        <v>10851056</v>
      </c>
      <c r="S678">
        <v>16789173</v>
      </c>
      <c r="T678">
        <v>237963</v>
      </c>
      <c r="U678">
        <v>28.16</v>
      </c>
      <c r="V678">
        <v>1.78</v>
      </c>
      <c r="W678">
        <v>4141</v>
      </c>
      <c r="X678">
        <v>0.27</v>
      </c>
      <c r="Y678">
        <v>37.18</v>
      </c>
    </row>
    <row r="679" spans="1:25" x14ac:dyDescent="0.3">
      <c r="A679" t="s">
        <v>27</v>
      </c>
      <c r="B679" t="s">
        <v>34</v>
      </c>
      <c r="C679" t="s">
        <v>37</v>
      </c>
      <c r="D679" s="1">
        <v>44874</v>
      </c>
      <c r="E679">
        <v>29051568</v>
      </c>
      <c r="F679">
        <v>9356</v>
      </c>
      <c r="G679">
        <v>37.200000000000003</v>
      </c>
      <c r="H679">
        <v>4516</v>
      </c>
      <c r="I679">
        <v>307604</v>
      </c>
      <c r="J679">
        <v>47952</v>
      </c>
      <c r="K679">
        <v>5509</v>
      </c>
      <c r="L679">
        <v>1526</v>
      </c>
      <c r="M679">
        <v>16616</v>
      </c>
      <c r="N679">
        <v>13074</v>
      </c>
      <c r="O679">
        <v>3280</v>
      </c>
      <c r="P679">
        <v>711595</v>
      </c>
      <c r="Q679">
        <v>14.68</v>
      </c>
      <c r="R679">
        <v>24275600</v>
      </c>
      <c r="S679">
        <v>14531214</v>
      </c>
      <c r="T679">
        <v>27994001</v>
      </c>
      <c r="U679">
        <v>1.99</v>
      </c>
      <c r="V679">
        <v>6.16</v>
      </c>
      <c r="W679">
        <v>2523</v>
      </c>
      <c r="X679">
        <v>1.89</v>
      </c>
      <c r="Y679">
        <v>61.8</v>
      </c>
    </row>
    <row r="680" spans="1:25" x14ac:dyDescent="0.3">
      <c r="A680" t="s">
        <v>26</v>
      </c>
      <c r="B680" t="s">
        <v>36</v>
      </c>
      <c r="C680" t="s">
        <v>38</v>
      </c>
      <c r="D680" s="1">
        <v>44875</v>
      </c>
      <c r="E680">
        <v>47923958</v>
      </c>
      <c r="F680">
        <v>6673</v>
      </c>
      <c r="G680">
        <v>46.9</v>
      </c>
      <c r="H680">
        <v>20751</v>
      </c>
      <c r="I680">
        <v>985080</v>
      </c>
      <c r="J680">
        <v>33837</v>
      </c>
      <c r="K680">
        <v>374</v>
      </c>
      <c r="L680">
        <v>1737</v>
      </c>
      <c r="M680">
        <v>706912</v>
      </c>
      <c r="N680">
        <v>197845</v>
      </c>
      <c r="O680">
        <v>1033</v>
      </c>
      <c r="P680">
        <v>271114</v>
      </c>
      <c r="Q680">
        <v>5.73</v>
      </c>
      <c r="R680">
        <v>32736269</v>
      </c>
      <c r="S680">
        <v>25183653</v>
      </c>
      <c r="T680">
        <v>20805270</v>
      </c>
      <c r="U680">
        <v>54.12</v>
      </c>
      <c r="V680">
        <v>3.76</v>
      </c>
      <c r="W680">
        <v>785</v>
      </c>
      <c r="X680">
        <v>2.4500000000000002</v>
      </c>
      <c r="Y680">
        <v>57.54</v>
      </c>
    </row>
    <row r="681" spans="1:25" x14ac:dyDescent="0.3">
      <c r="A681" t="s">
        <v>31</v>
      </c>
      <c r="B681" t="s">
        <v>35</v>
      </c>
      <c r="C681" t="s">
        <v>40</v>
      </c>
      <c r="D681" s="1">
        <v>44876</v>
      </c>
      <c r="E681">
        <v>41040377</v>
      </c>
      <c r="F681">
        <v>14958</v>
      </c>
      <c r="G681">
        <v>30.3</v>
      </c>
      <c r="H681">
        <v>31373</v>
      </c>
      <c r="I681">
        <v>200294</v>
      </c>
      <c r="J681">
        <v>5263</v>
      </c>
      <c r="K681">
        <v>19807</v>
      </c>
      <c r="L681">
        <v>466</v>
      </c>
      <c r="M681">
        <v>576157</v>
      </c>
      <c r="N681">
        <v>374248</v>
      </c>
      <c r="O681">
        <v>2786</v>
      </c>
      <c r="P681">
        <v>48922</v>
      </c>
      <c r="Q681">
        <v>0.47</v>
      </c>
      <c r="R681">
        <v>47325254</v>
      </c>
      <c r="S681">
        <v>22288077</v>
      </c>
      <c r="T681">
        <v>27014739</v>
      </c>
      <c r="U681">
        <v>95.66</v>
      </c>
      <c r="V681">
        <v>2.65</v>
      </c>
      <c r="W681">
        <v>2888</v>
      </c>
      <c r="X681">
        <v>1.01</v>
      </c>
      <c r="Y681">
        <v>39.42</v>
      </c>
    </row>
    <row r="682" spans="1:25" x14ac:dyDescent="0.3">
      <c r="A682" t="s">
        <v>25</v>
      </c>
      <c r="B682" t="s">
        <v>32</v>
      </c>
      <c r="C682" t="s">
        <v>40</v>
      </c>
      <c r="D682" s="1">
        <v>44877</v>
      </c>
      <c r="E682">
        <v>9644220</v>
      </c>
      <c r="F682">
        <v>17908</v>
      </c>
      <c r="G682">
        <v>24.9</v>
      </c>
      <c r="H682">
        <v>31270</v>
      </c>
      <c r="I682">
        <v>931170</v>
      </c>
      <c r="J682">
        <v>48877</v>
      </c>
      <c r="K682">
        <v>40805</v>
      </c>
      <c r="L682">
        <v>1124</v>
      </c>
      <c r="M682">
        <v>704677</v>
      </c>
      <c r="N682">
        <v>251466</v>
      </c>
      <c r="O682">
        <v>2233</v>
      </c>
      <c r="P682">
        <v>1543190</v>
      </c>
      <c r="Q682">
        <v>12.54</v>
      </c>
      <c r="R682">
        <v>39725882</v>
      </c>
      <c r="S682">
        <v>14088845</v>
      </c>
      <c r="T682">
        <v>6985012</v>
      </c>
      <c r="U682">
        <v>39.130000000000003</v>
      </c>
      <c r="V682">
        <v>6.57</v>
      </c>
      <c r="W682">
        <v>2612</v>
      </c>
      <c r="X682">
        <v>0.69</v>
      </c>
      <c r="Y682">
        <v>30.67</v>
      </c>
    </row>
    <row r="683" spans="1:25" x14ac:dyDescent="0.3">
      <c r="A683" t="s">
        <v>27</v>
      </c>
      <c r="B683" t="s">
        <v>33</v>
      </c>
      <c r="C683" t="s">
        <v>37</v>
      </c>
      <c r="D683" s="1">
        <v>44878</v>
      </c>
      <c r="E683">
        <v>36130907</v>
      </c>
      <c r="F683">
        <v>4510</v>
      </c>
      <c r="G683">
        <v>32.200000000000003</v>
      </c>
      <c r="H683">
        <v>11386</v>
      </c>
      <c r="I683">
        <v>63119</v>
      </c>
      <c r="J683">
        <v>40719</v>
      </c>
      <c r="K683">
        <v>32545</v>
      </c>
      <c r="L683">
        <v>1606</v>
      </c>
      <c r="M683">
        <v>890032</v>
      </c>
      <c r="N683">
        <v>389038</v>
      </c>
      <c r="O683">
        <v>1620</v>
      </c>
      <c r="P683">
        <v>818187</v>
      </c>
      <c r="Q683">
        <v>2.57</v>
      </c>
      <c r="R683">
        <v>6438082</v>
      </c>
      <c r="S683">
        <v>3245498</v>
      </c>
      <c r="T683">
        <v>11425633</v>
      </c>
      <c r="U683">
        <v>42.01</v>
      </c>
      <c r="V683">
        <v>4.84</v>
      </c>
      <c r="W683">
        <v>3956</v>
      </c>
      <c r="X683">
        <v>4.3600000000000003</v>
      </c>
      <c r="Y683">
        <v>40.700000000000003</v>
      </c>
    </row>
    <row r="684" spans="1:25" x14ac:dyDescent="0.3">
      <c r="A684" t="s">
        <v>25</v>
      </c>
      <c r="B684" t="s">
        <v>34</v>
      </c>
      <c r="C684" t="s">
        <v>39</v>
      </c>
      <c r="D684" s="1">
        <v>44879</v>
      </c>
      <c r="E684">
        <v>33622266</v>
      </c>
      <c r="F684">
        <v>14036</v>
      </c>
      <c r="G684">
        <v>19.5</v>
      </c>
      <c r="H684">
        <v>65817</v>
      </c>
      <c r="I684">
        <v>691681</v>
      </c>
      <c r="J684">
        <v>45687</v>
      </c>
      <c r="K684">
        <v>46310</v>
      </c>
      <c r="L684">
        <v>1965</v>
      </c>
      <c r="M684">
        <v>234482</v>
      </c>
      <c r="N684">
        <v>486749</v>
      </c>
      <c r="O684">
        <v>3535</v>
      </c>
      <c r="P684">
        <v>1028903</v>
      </c>
      <c r="Q684">
        <v>2.83</v>
      </c>
      <c r="R684">
        <v>38878111</v>
      </c>
      <c r="S684">
        <v>1498111</v>
      </c>
      <c r="T684">
        <v>21721897</v>
      </c>
      <c r="U684">
        <v>96.89</v>
      </c>
      <c r="V684">
        <v>4.3</v>
      </c>
      <c r="W684">
        <v>1322</v>
      </c>
      <c r="X684">
        <v>4.7</v>
      </c>
      <c r="Y684">
        <v>57.39</v>
      </c>
    </row>
    <row r="685" spans="1:25" x14ac:dyDescent="0.3">
      <c r="A685" t="s">
        <v>31</v>
      </c>
      <c r="B685" t="s">
        <v>33</v>
      </c>
      <c r="C685" t="s">
        <v>40</v>
      </c>
      <c r="D685" s="1">
        <v>44880</v>
      </c>
      <c r="E685">
        <v>2641912</v>
      </c>
      <c r="F685">
        <v>12688</v>
      </c>
      <c r="G685">
        <v>44.3</v>
      </c>
      <c r="H685">
        <v>66184</v>
      </c>
      <c r="I685">
        <v>920283</v>
      </c>
      <c r="J685">
        <v>34131</v>
      </c>
      <c r="K685">
        <v>47186</v>
      </c>
      <c r="L685">
        <v>674</v>
      </c>
      <c r="M685">
        <v>739063</v>
      </c>
      <c r="N685">
        <v>332446</v>
      </c>
      <c r="O685">
        <v>3205</v>
      </c>
      <c r="P685">
        <v>646214</v>
      </c>
      <c r="Q685">
        <v>8.02</v>
      </c>
      <c r="R685">
        <v>27017070</v>
      </c>
      <c r="S685">
        <v>16032031</v>
      </c>
      <c r="T685">
        <v>5266440</v>
      </c>
      <c r="U685">
        <v>69.459999999999994</v>
      </c>
      <c r="V685">
        <v>6.13</v>
      </c>
      <c r="W685">
        <v>4886</v>
      </c>
      <c r="X685">
        <v>0.49</v>
      </c>
      <c r="Y685">
        <v>42.81</v>
      </c>
    </row>
    <row r="686" spans="1:25" x14ac:dyDescent="0.3">
      <c r="A686" t="s">
        <v>28</v>
      </c>
      <c r="B686" t="s">
        <v>33</v>
      </c>
      <c r="C686" t="s">
        <v>38</v>
      </c>
      <c r="D686" s="1">
        <v>44881</v>
      </c>
      <c r="E686">
        <v>3644311</v>
      </c>
      <c r="F686">
        <v>19262</v>
      </c>
      <c r="G686">
        <v>44.4</v>
      </c>
      <c r="H686">
        <v>38879</v>
      </c>
      <c r="I686">
        <v>145258</v>
      </c>
      <c r="J686">
        <v>37276</v>
      </c>
      <c r="K686">
        <v>16115</v>
      </c>
      <c r="L686">
        <v>684</v>
      </c>
      <c r="M686">
        <v>205883</v>
      </c>
      <c r="N686">
        <v>74542</v>
      </c>
      <c r="O686">
        <v>2882</v>
      </c>
      <c r="P686">
        <v>20416</v>
      </c>
      <c r="Q686">
        <v>18.91</v>
      </c>
      <c r="R686">
        <v>23303690</v>
      </c>
      <c r="S686">
        <v>3108958</v>
      </c>
      <c r="T686">
        <v>18615258</v>
      </c>
      <c r="U686">
        <v>71.92</v>
      </c>
      <c r="V686">
        <v>5.17</v>
      </c>
      <c r="W686">
        <v>1912</v>
      </c>
      <c r="X686">
        <v>1.81</v>
      </c>
      <c r="Y686">
        <v>26.36</v>
      </c>
    </row>
    <row r="687" spans="1:25" x14ac:dyDescent="0.3">
      <c r="A687" t="s">
        <v>31</v>
      </c>
      <c r="B687" t="s">
        <v>36</v>
      </c>
      <c r="C687" t="s">
        <v>41</v>
      </c>
      <c r="D687" s="1">
        <v>44882</v>
      </c>
      <c r="E687">
        <v>17562838</v>
      </c>
      <c r="F687">
        <v>2900</v>
      </c>
      <c r="G687">
        <v>36.799999999999997</v>
      </c>
      <c r="H687">
        <v>50597</v>
      </c>
      <c r="I687">
        <v>410675</v>
      </c>
      <c r="J687">
        <v>34523</v>
      </c>
      <c r="K687">
        <v>7949</v>
      </c>
      <c r="L687">
        <v>1164</v>
      </c>
      <c r="M687">
        <v>292299</v>
      </c>
      <c r="N687">
        <v>152990</v>
      </c>
      <c r="O687">
        <v>170</v>
      </c>
      <c r="P687">
        <v>14672</v>
      </c>
      <c r="Q687">
        <v>15.9</v>
      </c>
      <c r="R687">
        <v>34553961</v>
      </c>
      <c r="S687">
        <v>23722652</v>
      </c>
      <c r="T687">
        <v>14811305</v>
      </c>
      <c r="U687">
        <v>56.27</v>
      </c>
      <c r="V687">
        <v>3.38</v>
      </c>
      <c r="W687">
        <v>4276</v>
      </c>
      <c r="X687">
        <v>4.8</v>
      </c>
      <c r="Y687">
        <v>76.099999999999994</v>
      </c>
    </row>
    <row r="688" spans="1:25" x14ac:dyDescent="0.3">
      <c r="A688" t="s">
        <v>30</v>
      </c>
      <c r="B688" t="s">
        <v>35</v>
      </c>
      <c r="C688" t="s">
        <v>41</v>
      </c>
      <c r="D688" s="1">
        <v>44883</v>
      </c>
      <c r="E688">
        <v>19240105</v>
      </c>
      <c r="F688">
        <v>13349</v>
      </c>
      <c r="G688">
        <v>29.3</v>
      </c>
      <c r="H688">
        <v>40132</v>
      </c>
      <c r="I688">
        <v>219827</v>
      </c>
      <c r="J688">
        <v>519</v>
      </c>
      <c r="K688">
        <v>13946</v>
      </c>
      <c r="L688">
        <v>137</v>
      </c>
      <c r="M688">
        <v>189374</v>
      </c>
      <c r="N688">
        <v>436562</v>
      </c>
      <c r="O688">
        <v>8140</v>
      </c>
      <c r="P688">
        <v>477684</v>
      </c>
      <c r="Q688">
        <v>2.0699999999999998</v>
      </c>
      <c r="R688">
        <v>5522177</v>
      </c>
      <c r="S688">
        <v>4892712</v>
      </c>
      <c r="T688">
        <v>14248225</v>
      </c>
      <c r="U688">
        <v>97.46</v>
      </c>
      <c r="V688">
        <v>5.81</v>
      </c>
      <c r="W688">
        <v>1813</v>
      </c>
      <c r="X688">
        <v>0.51</v>
      </c>
      <c r="Y688">
        <v>53.15</v>
      </c>
    </row>
    <row r="689" spans="1:25" x14ac:dyDescent="0.3">
      <c r="A689" t="s">
        <v>31</v>
      </c>
      <c r="B689" t="s">
        <v>34</v>
      </c>
      <c r="C689" t="s">
        <v>41</v>
      </c>
      <c r="D689" s="1">
        <v>44884</v>
      </c>
      <c r="E689">
        <v>46469430</v>
      </c>
      <c r="F689">
        <v>10748</v>
      </c>
      <c r="G689">
        <v>43.6</v>
      </c>
      <c r="H689">
        <v>4626</v>
      </c>
      <c r="I689">
        <v>268201</v>
      </c>
      <c r="J689">
        <v>31106</v>
      </c>
      <c r="K689">
        <v>42039</v>
      </c>
      <c r="L689">
        <v>577</v>
      </c>
      <c r="M689">
        <v>572420</v>
      </c>
      <c r="N689">
        <v>55698</v>
      </c>
      <c r="O689">
        <v>9745</v>
      </c>
      <c r="P689">
        <v>129145</v>
      </c>
      <c r="Q689">
        <v>29.05</v>
      </c>
      <c r="R689">
        <v>32565209</v>
      </c>
      <c r="S689">
        <v>15701804</v>
      </c>
      <c r="T689">
        <v>12061863</v>
      </c>
      <c r="U689">
        <v>68.89</v>
      </c>
      <c r="V689">
        <v>6.86</v>
      </c>
      <c r="W689">
        <v>4468</v>
      </c>
      <c r="X689">
        <v>3.25</v>
      </c>
      <c r="Y689">
        <v>6.77</v>
      </c>
    </row>
    <row r="690" spans="1:25" x14ac:dyDescent="0.3">
      <c r="A690" t="s">
        <v>31</v>
      </c>
      <c r="B690" t="s">
        <v>33</v>
      </c>
      <c r="C690" t="s">
        <v>39</v>
      </c>
      <c r="D690" s="1">
        <v>44885</v>
      </c>
      <c r="E690">
        <v>18673652</v>
      </c>
      <c r="F690">
        <v>19398</v>
      </c>
      <c r="G690">
        <v>35.700000000000003</v>
      </c>
      <c r="H690">
        <v>56390</v>
      </c>
      <c r="I690">
        <v>979167</v>
      </c>
      <c r="J690">
        <v>44504</v>
      </c>
      <c r="K690">
        <v>15873</v>
      </c>
      <c r="L690">
        <v>709</v>
      </c>
      <c r="M690">
        <v>211784</v>
      </c>
      <c r="N690">
        <v>133826</v>
      </c>
      <c r="O690">
        <v>3897</v>
      </c>
      <c r="P690">
        <v>703356</v>
      </c>
      <c r="Q690">
        <v>26.62</v>
      </c>
      <c r="R690">
        <v>19118275</v>
      </c>
      <c r="S690">
        <v>21178124</v>
      </c>
      <c r="T690">
        <v>25693527</v>
      </c>
      <c r="U690">
        <v>89.5</v>
      </c>
      <c r="V690">
        <v>0.75</v>
      </c>
      <c r="W690">
        <v>872</v>
      </c>
      <c r="X690">
        <v>4.8600000000000003</v>
      </c>
      <c r="Y690">
        <v>36.83</v>
      </c>
    </row>
    <row r="691" spans="1:25" x14ac:dyDescent="0.3">
      <c r="A691" t="s">
        <v>30</v>
      </c>
      <c r="B691" t="s">
        <v>34</v>
      </c>
      <c r="C691" t="s">
        <v>37</v>
      </c>
      <c r="D691" s="1">
        <v>44886</v>
      </c>
      <c r="E691">
        <v>43110580</v>
      </c>
      <c r="F691">
        <v>4644</v>
      </c>
      <c r="G691">
        <v>44.4</v>
      </c>
      <c r="H691">
        <v>17645</v>
      </c>
      <c r="I691">
        <v>150805</v>
      </c>
      <c r="J691">
        <v>10514</v>
      </c>
      <c r="K691">
        <v>12571</v>
      </c>
      <c r="L691">
        <v>1863</v>
      </c>
      <c r="M691">
        <v>686636</v>
      </c>
      <c r="N691">
        <v>33858</v>
      </c>
      <c r="O691">
        <v>9787</v>
      </c>
      <c r="P691">
        <v>1910103</v>
      </c>
      <c r="Q691">
        <v>7.78</v>
      </c>
      <c r="R691">
        <v>22593488</v>
      </c>
      <c r="S691">
        <v>8666777</v>
      </c>
      <c r="T691">
        <v>10964464</v>
      </c>
      <c r="U691">
        <v>69.94</v>
      </c>
      <c r="V691">
        <v>4.93</v>
      </c>
      <c r="W691">
        <v>592</v>
      </c>
      <c r="X691">
        <v>4.8899999999999997</v>
      </c>
      <c r="Y691">
        <v>88.49</v>
      </c>
    </row>
    <row r="692" spans="1:25" x14ac:dyDescent="0.3">
      <c r="A692" t="s">
        <v>26</v>
      </c>
      <c r="B692" t="s">
        <v>32</v>
      </c>
      <c r="C692" t="s">
        <v>38</v>
      </c>
      <c r="D692" s="1">
        <v>44887</v>
      </c>
      <c r="E692">
        <v>2695690</v>
      </c>
      <c r="F692">
        <v>14332</v>
      </c>
      <c r="G692">
        <v>38.200000000000003</v>
      </c>
      <c r="H692">
        <v>55144</v>
      </c>
      <c r="I692">
        <v>806589</v>
      </c>
      <c r="J692">
        <v>47456</v>
      </c>
      <c r="K692">
        <v>10457</v>
      </c>
      <c r="L692">
        <v>227</v>
      </c>
      <c r="M692">
        <v>436941</v>
      </c>
      <c r="N692">
        <v>286448</v>
      </c>
      <c r="O692">
        <v>9815</v>
      </c>
      <c r="P692">
        <v>1064</v>
      </c>
      <c r="Q692">
        <v>3.67</v>
      </c>
      <c r="R692">
        <v>40001243</v>
      </c>
      <c r="S692">
        <v>31467060</v>
      </c>
      <c r="T692">
        <v>27077776</v>
      </c>
      <c r="U692">
        <v>73.510000000000005</v>
      </c>
      <c r="V692">
        <v>1.05</v>
      </c>
      <c r="W692">
        <v>2815</v>
      </c>
      <c r="X692">
        <v>2.41</v>
      </c>
      <c r="Y692">
        <v>75.52</v>
      </c>
    </row>
    <row r="693" spans="1:25" x14ac:dyDescent="0.3">
      <c r="A693" t="s">
        <v>31</v>
      </c>
      <c r="B693" t="s">
        <v>36</v>
      </c>
      <c r="C693" t="s">
        <v>39</v>
      </c>
      <c r="D693" s="1">
        <v>44888</v>
      </c>
      <c r="E693">
        <v>44031276</v>
      </c>
      <c r="F693">
        <v>16335</v>
      </c>
      <c r="G693">
        <v>43.1</v>
      </c>
      <c r="H693">
        <v>14382</v>
      </c>
      <c r="I693">
        <v>822462</v>
      </c>
      <c r="J693">
        <v>7233</v>
      </c>
      <c r="K693">
        <v>30634</v>
      </c>
      <c r="L693">
        <v>280</v>
      </c>
      <c r="M693">
        <v>191582</v>
      </c>
      <c r="N693">
        <v>127409</v>
      </c>
      <c r="O693">
        <v>4122</v>
      </c>
      <c r="P693">
        <v>69835</v>
      </c>
      <c r="Q693">
        <v>28.27</v>
      </c>
      <c r="R693">
        <v>18265437</v>
      </c>
      <c r="S693">
        <v>17586354</v>
      </c>
      <c r="T693">
        <v>26348956</v>
      </c>
      <c r="U693">
        <v>29.04</v>
      </c>
      <c r="V693">
        <v>2.27</v>
      </c>
      <c r="W693">
        <v>2128</v>
      </c>
      <c r="X693">
        <v>0.9</v>
      </c>
      <c r="Y693">
        <v>32.32</v>
      </c>
    </row>
    <row r="694" spans="1:25" x14ac:dyDescent="0.3">
      <c r="A694" t="s">
        <v>30</v>
      </c>
      <c r="B694" t="s">
        <v>32</v>
      </c>
      <c r="C694" t="s">
        <v>38</v>
      </c>
      <c r="D694" s="1">
        <v>44889</v>
      </c>
      <c r="E694">
        <v>47453572</v>
      </c>
      <c r="F694">
        <v>14384</v>
      </c>
      <c r="G694">
        <v>37.200000000000003</v>
      </c>
      <c r="H694">
        <v>5025</v>
      </c>
      <c r="I694">
        <v>151685</v>
      </c>
      <c r="J694">
        <v>1102</v>
      </c>
      <c r="K694">
        <v>46950</v>
      </c>
      <c r="L694">
        <v>683</v>
      </c>
      <c r="M694">
        <v>214307</v>
      </c>
      <c r="N694">
        <v>166100</v>
      </c>
      <c r="O694">
        <v>5109</v>
      </c>
      <c r="P694">
        <v>1251033</v>
      </c>
      <c r="Q694">
        <v>13.83</v>
      </c>
      <c r="R694">
        <v>47109805</v>
      </c>
      <c r="S694">
        <v>21669796</v>
      </c>
      <c r="T694">
        <v>5559011</v>
      </c>
      <c r="U694">
        <v>30.35</v>
      </c>
      <c r="V694">
        <v>5.82</v>
      </c>
      <c r="W694">
        <v>934</v>
      </c>
      <c r="X694">
        <v>1.0900000000000001</v>
      </c>
      <c r="Y694">
        <v>93.82</v>
      </c>
    </row>
    <row r="695" spans="1:25" x14ac:dyDescent="0.3">
      <c r="A695" t="s">
        <v>27</v>
      </c>
      <c r="B695" t="s">
        <v>34</v>
      </c>
      <c r="C695" t="s">
        <v>38</v>
      </c>
      <c r="D695" s="1">
        <v>44890</v>
      </c>
      <c r="E695">
        <v>47906955</v>
      </c>
      <c r="F695">
        <v>6694</v>
      </c>
      <c r="G695">
        <v>31.3</v>
      </c>
      <c r="H695">
        <v>44226</v>
      </c>
      <c r="I695">
        <v>633900</v>
      </c>
      <c r="J695">
        <v>597</v>
      </c>
      <c r="K695">
        <v>44656</v>
      </c>
      <c r="L695">
        <v>827</v>
      </c>
      <c r="M695">
        <v>197023</v>
      </c>
      <c r="N695">
        <v>184781</v>
      </c>
      <c r="O695">
        <v>9283</v>
      </c>
      <c r="P695">
        <v>1972719</v>
      </c>
      <c r="Q695">
        <v>9.34</v>
      </c>
      <c r="R695">
        <v>37777623</v>
      </c>
      <c r="S695">
        <v>31532783</v>
      </c>
      <c r="T695">
        <v>27281201</v>
      </c>
      <c r="U695">
        <v>78.3</v>
      </c>
      <c r="V695">
        <v>8.73</v>
      </c>
      <c r="W695">
        <v>4336</v>
      </c>
      <c r="X695">
        <v>4.46</v>
      </c>
      <c r="Y695">
        <v>7.66</v>
      </c>
    </row>
    <row r="696" spans="1:25" x14ac:dyDescent="0.3">
      <c r="A696" t="s">
        <v>28</v>
      </c>
      <c r="B696" t="s">
        <v>34</v>
      </c>
      <c r="C696" t="s">
        <v>37</v>
      </c>
      <c r="D696" s="1">
        <v>44891</v>
      </c>
      <c r="E696">
        <v>20259626</v>
      </c>
      <c r="F696">
        <v>2900</v>
      </c>
      <c r="G696">
        <v>48.7</v>
      </c>
      <c r="H696">
        <v>4443</v>
      </c>
      <c r="I696">
        <v>378224</v>
      </c>
      <c r="J696">
        <v>46715</v>
      </c>
      <c r="K696">
        <v>12421</v>
      </c>
      <c r="L696">
        <v>430</v>
      </c>
      <c r="M696">
        <v>704672</v>
      </c>
      <c r="N696">
        <v>30652</v>
      </c>
      <c r="O696">
        <v>2837</v>
      </c>
      <c r="P696">
        <v>1297371</v>
      </c>
      <c r="Q696">
        <v>14.71</v>
      </c>
      <c r="R696">
        <v>22459484</v>
      </c>
      <c r="S696">
        <v>37910664</v>
      </c>
      <c r="T696">
        <v>5757662</v>
      </c>
      <c r="U696">
        <v>29.67</v>
      </c>
      <c r="V696">
        <v>8.89</v>
      </c>
      <c r="W696">
        <v>3699</v>
      </c>
      <c r="X696">
        <v>4.57</v>
      </c>
      <c r="Y696">
        <v>96.12</v>
      </c>
    </row>
    <row r="697" spans="1:25" x14ac:dyDescent="0.3">
      <c r="A697" t="s">
        <v>28</v>
      </c>
      <c r="B697" t="s">
        <v>35</v>
      </c>
      <c r="C697" t="s">
        <v>41</v>
      </c>
      <c r="D697" s="1">
        <v>44892</v>
      </c>
      <c r="E697">
        <v>18681571</v>
      </c>
      <c r="F697">
        <v>14983</v>
      </c>
      <c r="G697">
        <v>35.299999999999997</v>
      </c>
      <c r="H697">
        <v>22395</v>
      </c>
      <c r="I697">
        <v>870460</v>
      </c>
      <c r="J697">
        <v>19657</v>
      </c>
      <c r="K697">
        <v>19475</v>
      </c>
      <c r="L697">
        <v>1063</v>
      </c>
      <c r="M697">
        <v>474318</v>
      </c>
      <c r="N697">
        <v>403652</v>
      </c>
      <c r="O697">
        <v>8599</v>
      </c>
      <c r="P697">
        <v>1453847</v>
      </c>
      <c r="Q697">
        <v>23.18</v>
      </c>
      <c r="R697">
        <v>44830979</v>
      </c>
      <c r="S697">
        <v>27103998</v>
      </c>
      <c r="T697">
        <v>1765040</v>
      </c>
      <c r="U697">
        <v>56.28</v>
      </c>
      <c r="V697">
        <v>1.1599999999999999</v>
      </c>
      <c r="W697">
        <v>4560</v>
      </c>
      <c r="X697">
        <v>3.08</v>
      </c>
      <c r="Y697">
        <v>24.57</v>
      </c>
    </row>
    <row r="698" spans="1:25" x14ac:dyDescent="0.3">
      <c r="A698" t="s">
        <v>31</v>
      </c>
      <c r="B698" t="s">
        <v>33</v>
      </c>
      <c r="C698" t="s">
        <v>37</v>
      </c>
      <c r="D698" s="1">
        <v>44893</v>
      </c>
      <c r="E698">
        <v>28341304</v>
      </c>
      <c r="F698">
        <v>215</v>
      </c>
      <c r="G698">
        <v>37.4</v>
      </c>
      <c r="H698">
        <v>11725</v>
      </c>
      <c r="I698">
        <v>480498</v>
      </c>
      <c r="J698">
        <v>45009</v>
      </c>
      <c r="K698">
        <v>38226</v>
      </c>
      <c r="L698">
        <v>1542</v>
      </c>
      <c r="M698">
        <v>281539</v>
      </c>
      <c r="N698">
        <v>309281</v>
      </c>
      <c r="O698">
        <v>5228</v>
      </c>
      <c r="P698">
        <v>350738</v>
      </c>
      <c r="Q698">
        <v>5.05</v>
      </c>
      <c r="R698">
        <v>23241278</v>
      </c>
      <c r="S698">
        <v>28320731</v>
      </c>
      <c r="T698">
        <v>2380232</v>
      </c>
      <c r="U698">
        <v>24.94</v>
      </c>
      <c r="V698">
        <v>4.4800000000000004</v>
      </c>
      <c r="W698">
        <v>3621</v>
      </c>
      <c r="X698">
        <v>3.85</v>
      </c>
      <c r="Y698">
        <v>0.91</v>
      </c>
    </row>
    <row r="699" spans="1:25" x14ac:dyDescent="0.3">
      <c r="A699" t="s">
        <v>26</v>
      </c>
      <c r="B699" t="s">
        <v>33</v>
      </c>
      <c r="C699" t="s">
        <v>39</v>
      </c>
      <c r="D699" s="1">
        <v>44894</v>
      </c>
      <c r="E699">
        <v>5556093</v>
      </c>
      <c r="F699">
        <v>10751</v>
      </c>
      <c r="G699">
        <v>25.1</v>
      </c>
      <c r="H699">
        <v>34461</v>
      </c>
      <c r="I699">
        <v>137260</v>
      </c>
      <c r="J699">
        <v>38549</v>
      </c>
      <c r="K699">
        <v>19652</v>
      </c>
      <c r="L699">
        <v>1709</v>
      </c>
      <c r="M699">
        <v>236392</v>
      </c>
      <c r="N699">
        <v>147378</v>
      </c>
      <c r="O699">
        <v>4169</v>
      </c>
      <c r="P699">
        <v>1996507</v>
      </c>
      <c r="Q699">
        <v>23.02</v>
      </c>
      <c r="R699">
        <v>31004434</v>
      </c>
      <c r="S699">
        <v>2776245</v>
      </c>
      <c r="T699">
        <v>24943292</v>
      </c>
      <c r="U699">
        <v>81.7</v>
      </c>
      <c r="V699">
        <v>6.04</v>
      </c>
      <c r="W699">
        <v>3983</v>
      </c>
      <c r="X699">
        <v>3.73</v>
      </c>
      <c r="Y699">
        <v>43.38</v>
      </c>
    </row>
    <row r="700" spans="1:25" x14ac:dyDescent="0.3">
      <c r="A700" t="s">
        <v>26</v>
      </c>
      <c r="B700" t="s">
        <v>32</v>
      </c>
      <c r="C700" t="s">
        <v>39</v>
      </c>
      <c r="D700" s="1">
        <v>44895</v>
      </c>
      <c r="E700">
        <v>14858216</v>
      </c>
      <c r="F700">
        <v>969</v>
      </c>
      <c r="G700">
        <v>38</v>
      </c>
      <c r="H700">
        <v>42115</v>
      </c>
      <c r="I700">
        <v>239178</v>
      </c>
      <c r="J700">
        <v>43565</v>
      </c>
      <c r="K700">
        <v>31272</v>
      </c>
      <c r="L700">
        <v>1686</v>
      </c>
      <c r="M700">
        <v>738196</v>
      </c>
      <c r="N700">
        <v>34931</v>
      </c>
      <c r="O700">
        <v>6721</v>
      </c>
      <c r="P700">
        <v>642204</v>
      </c>
      <c r="Q700">
        <v>22.48</v>
      </c>
      <c r="R700">
        <v>17755994</v>
      </c>
      <c r="S700">
        <v>23203719</v>
      </c>
      <c r="T700">
        <v>28265426</v>
      </c>
      <c r="U700">
        <v>11.05</v>
      </c>
      <c r="V700">
        <v>1.9</v>
      </c>
      <c r="W700">
        <v>3716</v>
      </c>
      <c r="X700">
        <v>3.34</v>
      </c>
      <c r="Y700">
        <v>35.9</v>
      </c>
    </row>
    <row r="701" spans="1:25" x14ac:dyDescent="0.3">
      <c r="A701" t="s">
        <v>27</v>
      </c>
      <c r="B701" t="s">
        <v>36</v>
      </c>
      <c r="C701" t="s">
        <v>39</v>
      </c>
      <c r="D701" s="1">
        <v>44896</v>
      </c>
      <c r="E701">
        <v>29089907</v>
      </c>
      <c r="F701">
        <v>8355</v>
      </c>
      <c r="G701">
        <v>36.299999999999997</v>
      </c>
      <c r="H701">
        <v>29690</v>
      </c>
      <c r="I701">
        <v>260418</v>
      </c>
      <c r="J701">
        <v>6256</v>
      </c>
      <c r="K701">
        <v>30373</v>
      </c>
      <c r="L701">
        <v>1234</v>
      </c>
      <c r="M701">
        <v>243218</v>
      </c>
      <c r="N701">
        <v>43663</v>
      </c>
      <c r="O701">
        <v>679</v>
      </c>
      <c r="P701">
        <v>1956316</v>
      </c>
      <c r="Q701">
        <v>16.18</v>
      </c>
      <c r="R701">
        <v>20918556</v>
      </c>
      <c r="S701">
        <v>10823042</v>
      </c>
      <c r="T701">
        <v>9270573</v>
      </c>
      <c r="U701">
        <v>82.94</v>
      </c>
      <c r="V701">
        <v>7.77</v>
      </c>
      <c r="W701">
        <v>1771</v>
      </c>
      <c r="X701">
        <v>4.1500000000000004</v>
      </c>
      <c r="Y701">
        <v>53.91</v>
      </c>
    </row>
    <row r="702" spans="1:25" x14ac:dyDescent="0.3">
      <c r="A702" t="s">
        <v>31</v>
      </c>
      <c r="B702" t="s">
        <v>33</v>
      </c>
      <c r="C702" t="s">
        <v>37</v>
      </c>
      <c r="D702" s="1">
        <v>44897</v>
      </c>
      <c r="E702">
        <v>2964722</v>
      </c>
      <c r="F702">
        <v>19938</v>
      </c>
      <c r="G702">
        <v>23.9</v>
      </c>
      <c r="H702">
        <v>2407</v>
      </c>
      <c r="I702">
        <v>30680</v>
      </c>
      <c r="J702">
        <v>43148</v>
      </c>
      <c r="K702">
        <v>2117</v>
      </c>
      <c r="L702">
        <v>301</v>
      </c>
      <c r="M702">
        <v>717667</v>
      </c>
      <c r="N702">
        <v>18461</v>
      </c>
      <c r="O702">
        <v>7429</v>
      </c>
      <c r="P702">
        <v>1918524</v>
      </c>
      <c r="Q702">
        <v>25.98</v>
      </c>
      <c r="R702">
        <v>49752435</v>
      </c>
      <c r="S702">
        <v>27774535</v>
      </c>
      <c r="T702">
        <v>10850173</v>
      </c>
      <c r="U702">
        <v>60.27</v>
      </c>
      <c r="V702">
        <v>7.57</v>
      </c>
      <c r="W702">
        <v>424</v>
      </c>
      <c r="X702">
        <v>3.46</v>
      </c>
      <c r="Y702">
        <v>79.680000000000007</v>
      </c>
    </row>
    <row r="703" spans="1:25" x14ac:dyDescent="0.3">
      <c r="A703" t="s">
        <v>28</v>
      </c>
      <c r="B703" t="s">
        <v>35</v>
      </c>
      <c r="C703" t="s">
        <v>38</v>
      </c>
      <c r="D703" s="1">
        <v>44898</v>
      </c>
      <c r="E703">
        <v>40613874</v>
      </c>
      <c r="F703">
        <v>17425</v>
      </c>
      <c r="G703">
        <v>19.899999999999999</v>
      </c>
      <c r="H703">
        <v>59560</v>
      </c>
      <c r="I703">
        <v>235433</v>
      </c>
      <c r="J703">
        <v>29401</v>
      </c>
      <c r="K703">
        <v>7938</v>
      </c>
      <c r="L703">
        <v>1109</v>
      </c>
      <c r="M703">
        <v>547874</v>
      </c>
      <c r="N703">
        <v>303579</v>
      </c>
      <c r="O703">
        <v>5487</v>
      </c>
      <c r="P703">
        <v>852098</v>
      </c>
      <c r="Q703">
        <v>3.96</v>
      </c>
      <c r="R703">
        <v>14247190</v>
      </c>
      <c r="S703">
        <v>22631090</v>
      </c>
      <c r="T703">
        <v>28875792</v>
      </c>
      <c r="U703">
        <v>18.690000000000001</v>
      </c>
      <c r="V703">
        <v>9.08</v>
      </c>
      <c r="W703">
        <v>607</v>
      </c>
      <c r="X703">
        <v>2.72</v>
      </c>
      <c r="Y703">
        <v>84.24</v>
      </c>
    </row>
    <row r="704" spans="1:25" x14ac:dyDescent="0.3">
      <c r="A704" t="s">
        <v>26</v>
      </c>
      <c r="B704" t="s">
        <v>32</v>
      </c>
      <c r="C704" t="s">
        <v>38</v>
      </c>
      <c r="D704" s="1">
        <v>44899</v>
      </c>
      <c r="E704">
        <v>15636395</v>
      </c>
      <c r="F704">
        <v>15765</v>
      </c>
      <c r="G704">
        <v>37.299999999999997</v>
      </c>
      <c r="H704">
        <v>48340</v>
      </c>
      <c r="I704">
        <v>978623</v>
      </c>
      <c r="J704">
        <v>41548</v>
      </c>
      <c r="K704">
        <v>48012</v>
      </c>
      <c r="L704">
        <v>1420</v>
      </c>
      <c r="M704">
        <v>86137</v>
      </c>
      <c r="N704">
        <v>74569</v>
      </c>
      <c r="O704">
        <v>236</v>
      </c>
      <c r="P704">
        <v>1244922</v>
      </c>
      <c r="Q704">
        <v>17.86</v>
      </c>
      <c r="R704">
        <v>14446310</v>
      </c>
      <c r="S704">
        <v>1077406</v>
      </c>
      <c r="T704">
        <v>845377</v>
      </c>
      <c r="U704">
        <v>54.2</v>
      </c>
      <c r="V704">
        <v>0.57999999999999996</v>
      </c>
      <c r="W704">
        <v>1330</v>
      </c>
      <c r="X704">
        <v>1.26</v>
      </c>
      <c r="Y704">
        <v>40.119999999999997</v>
      </c>
    </row>
    <row r="705" spans="1:25" x14ac:dyDescent="0.3">
      <c r="A705" t="s">
        <v>31</v>
      </c>
      <c r="B705" t="s">
        <v>32</v>
      </c>
      <c r="C705" t="s">
        <v>40</v>
      </c>
      <c r="D705" s="1">
        <v>44900</v>
      </c>
      <c r="E705">
        <v>6130761</v>
      </c>
      <c r="F705">
        <v>3889</v>
      </c>
      <c r="G705">
        <v>42.4</v>
      </c>
      <c r="H705">
        <v>18794</v>
      </c>
      <c r="I705">
        <v>365446</v>
      </c>
      <c r="J705">
        <v>6554</v>
      </c>
      <c r="K705">
        <v>19327</v>
      </c>
      <c r="L705">
        <v>1276</v>
      </c>
      <c r="M705">
        <v>475743</v>
      </c>
      <c r="N705">
        <v>25916</v>
      </c>
      <c r="O705">
        <v>6804</v>
      </c>
      <c r="P705">
        <v>905726</v>
      </c>
      <c r="Q705">
        <v>13.48</v>
      </c>
      <c r="R705">
        <v>27683117</v>
      </c>
      <c r="S705">
        <v>16692889</v>
      </c>
      <c r="T705">
        <v>13899012</v>
      </c>
      <c r="U705">
        <v>28.25</v>
      </c>
      <c r="V705">
        <v>2.56</v>
      </c>
      <c r="W705">
        <v>3473</v>
      </c>
      <c r="X705">
        <v>3.75</v>
      </c>
      <c r="Y705">
        <v>42.98</v>
      </c>
    </row>
    <row r="706" spans="1:25" x14ac:dyDescent="0.3">
      <c r="A706" t="s">
        <v>25</v>
      </c>
      <c r="B706" t="s">
        <v>35</v>
      </c>
      <c r="C706" t="s">
        <v>39</v>
      </c>
      <c r="D706" s="1">
        <v>44901</v>
      </c>
      <c r="E706">
        <v>47994032</v>
      </c>
      <c r="F706">
        <v>17692</v>
      </c>
      <c r="G706">
        <v>34.700000000000003</v>
      </c>
      <c r="H706">
        <v>20881</v>
      </c>
      <c r="I706">
        <v>468616</v>
      </c>
      <c r="J706">
        <v>12664</v>
      </c>
      <c r="K706">
        <v>49088</v>
      </c>
      <c r="L706">
        <v>532</v>
      </c>
      <c r="M706">
        <v>683067</v>
      </c>
      <c r="N706">
        <v>257522</v>
      </c>
      <c r="O706">
        <v>2423</v>
      </c>
      <c r="P706">
        <v>1322586</v>
      </c>
      <c r="Q706">
        <v>12.67</v>
      </c>
      <c r="R706">
        <v>27607294</v>
      </c>
      <c r="S706">
        <v>2389905</v>
      </c>
      <c r="T706">
        <v>10142842</v>
      </c>
      <c r="U706">
        <v>32.35</v>
      </c>
      <c r="V706">
        <v>8.36</v>
      </c>
      <c r="W706">
        <v>1178</v>
      </c>
      <c r="X706">
        <v>2.42</v>
      </c>
      <c r="Y706">
        <v>14.82</v>
      </c>
    </row>
    <row r="707" spans="1:25" x14ac:dyDescent="0.3">
      <c r="A707" t="s">
        <v>26</v>
      </c>
      <c r="B707" t="s">
        <v>36</v>
      </c>
      <c r="C707" t="s">
        <v>38</v>
      </c>
      <c r="D707" s="1">
        <v>44902</v>
      </c>
      <c r="E707">
        <v>3401092</v>
      </c>
      <c r="F707">
        <v>11668</v>
      </c>
      <c r="G707">
        <v>25.3</v>
      </c>
      <c r="H707">
        <v>50703</v>
      </c>
      <c r="I707">
        <v>449934</v>
      </c>
      <c r="J707">
        <v>42367</v>
      </c>
      <c r="K707">
        <v>25027</v>
      </c>
      <c r="L707">
        <v>768</v>
      </c>
      <c r="M707">
        <v>369978</v>
      </c>
      <c r="N707">
        <v>146791</v>
      </c>
      <c r="O707">
        <v>1032</v>
      </c>
      <c r="P707">
        <v>1053465</v>
      </c>
      <c r="Q707">
        <v>7.58</v>
      </c>
      <c r="R707">
        <v>23288751</v>
      </c>
      <c r="S707">
        <v>889912</v>
      </c>
      <c r="T707">
        <v>28266726</v>
      </c>
      <c r="U707">
        <v>35.15</v>
      </c>
      <c r="V707">
        <v>6.87</v>
      </c>
      <c r="W707">
        <v>1410</v>
      </c>
      <c r="X707">
        <v>1.54</v>
      </c>
      <c r="Y707">
        <v>4.75</v>
      </c>
    </row>
    <row r="708" spans="1:25" x14ac:dyDescent="0.3">
      <c r="A708" t="s">
        <v>30</v>
      </c>
      <c r="B708" t="s">
        <v>35</v>
      </c>
      <c r="C708" t="s">
        <v>40</v>
      </c>
      <c r="D708" s="1">
        <v>44903</v>
      </c>
      <c r="E708">
        <v>16283215</v>
      </c>
      <c r="F708">
        <v>13569</v>
      </c>
      <c r="G708">
        <v>39.299999999999997</v>
      </c>
      <c r="H708">
        <v>45354</v>
      </c>
      <c r="I708">
        <v>561733</v>
      </c>
      <c r="J708">
        <v>48279</v>
      </c>
      <c r="K708">
        <v>13538</v>
      </c>
      <c r="L708">
        <v>1914</v>
      </c>
      <c r="M708">
        <v>676757</v>
      </c>
      <c r="N708">
        <v>234395</v>
      </c>
      <c r="O708">
        <v>6339</v>
      </c>
      <c r="P708">
        <v>1167770</v>
      </c>
      <c r="Q708">
        <v>11.17</v>
      </c>
      <c r="R708">
        <v>49812147</v>
      </c>
      <c r="S708">
        <v>34254959</v>
      </c>
      <c r="T708">
        <v>605109</v>
      </c>
      <c r="U708">
        <v>6.33</v>
      </c>
      <c r="V708">
        <v>9</v>
      </c>
      <c r="W708">
        <v>3647</v>
      </c>
      <c r="X708">
        <v>4.03</v>
      </c>
      <c r="Y708">
        <v>64.12</v>
      </c>
    </row>
    <row r="709" spans="1:25" x14ac:dyDescent="0.3">
      <c r="A709" t="s">
        <v>25</v>
      </c>
      <c r="B709" t="s">
        <v>36</v>
      </c>
      <c r="C709" t="s">
        <v>38</v>
      </c>
      <c r="D709" s="1">
        <v>44904</v>
      </c>
      <c r="E709">
        <v>43965574</v>
      </c>
      <c r="F709">
        <v>10826</v>
      </c>
      <c r="G709">
        <v>20.6</v>
      </c>
      <c r="H709">
        <v>15390</v>
      </c>
      <c r="I709">
        <v>531084</v>
      </c>
      <c r="J709">
        <v>24386</v>
      </c>
      <c r="K709">
        <v>13323</v>
      </c>
      <c r="L709">
        <v>1938</v>
      </c>
      <c r="M709">
        <v>587871</v>
      </c>
      <c r="N709">
        <v>92579</v>
      </c>
      <c r="O709">
        <v>2940</v>
      </c>
      <c r="P709">
        <v>1174290</v>
      </c>
      <c r="Q709">
        <v>3.24</v>
      </c>
      <c r="R709">
        <v>26457351</v>
      </c>
      <c r="S709">
        <v>21196773</v>
      </c>
      <c r="T709">
        <v>24543343</v>
      </c>
      <c r="U709">
        <v>98.6</v>
      </c>
      <c r="V709">
        <v>1.04</v>
      </c>
      <c r="W709">
        <v>1150</v>
      </c>
      <c r="X709">
        <v>3.51</v>
      </c>
      <c r="Y709">
        <v>6.44</v>
      </c>
    </row>
    <row r="710" spans="1:25" x14ac:dyDescent="0.3">
      <c r="A710" t="s">
        <v>26</v>
      </c>
      <c r="B710" t="s">
        <v>35</v>
      </c>
      <c r="C710" t="s">
        <v>39</v>
      </c>
      <c r="D710" s="1">
        <v>44905</v>
      </c>
      <c r="E710">
        <v>2222907</v>
      </c>
      <c r="F710">
        <v>117</v>
      </c>
      <c r="G710">
        <v>32.1</v>
      </c>
      <c r="H710">
        <v>28307</v>
      </c>
      <c r="I710">
        <v>834650</v>
      </c>
      <c r="J710">
        <v>4846</v>
      </c>
      <c r="K710">
        <v>1569</v>
      </c>
      <c r="L710">
        <v>1404</v>
      </c>
      <c r="M710">
        <v>95528</v>
      </c>
      <c r="N710">
        <v>26919</v>
      </c>
      <c r="O710">
        <v>5409</v>
      </c>
      <c r="P710">
        <v>966730</v>
      </c>
      <c r="Q710">
        <v>7.55</v>
      </c>
      <c r="R710">
        <v>16981686</v>
      </c>
      <c r="S710">
        <v>3989551</v>
      </c>
      <c r="T710">
        <v>16924431</v>
      </c>
      <c r="U710">
        <v>3.15</v>
      </c>
      <c r="V710">
        <v>6.17</v>
      </c>
      <c r="W710">
        <v>1584</v>
      </c>
      <c r="X710">
        <v>4.6900000000000004</v>
      </c>
      <c r="Y710">
        <v>73.38</v>
      </c>
    </row>
    <row r="711" spans="1:25" x14ac:dyDescent="0.3">
      <c r="A711" t="s">
        <v>28</v>
      </c>
      <c r="B711" t="s">
        <v>35</v>
      </c>
      <c r="C711" t="s">
        <v>41</v>
      </c>
      <c r="D711" s="1">
        <v>44906</v>
      </c>
      <c r="E711">
        <v>28181791</v>
      </c>
      <c r="F711">
        <v>9838</v>
      </c>
      <c r="G711">
        <v>23.2</v>
      </c>
      <c r="H711">
        <v>25502</v>
      </c>
      <c r="I711">
        <v>695491</v>
      </c>
      <c r="J711">
        <v>26205</v>
      </c>
      <c r="K711">
        <v>15177</v>
      </c>
      <c r="L711">
        <v>443</v>
      </c>
      <c r="M711">
        <v>853889</v>
      </c>
      <c r="N711">
        <v>405057</v>
      </c>
      <c r="O711">
        <v>3132</v>
      </c>
      <c r="P711">
        <v>1605199</v>
      </c>
      <c r="Q711">
        <v>8.16</v>
      </c>
      <c r="R711">
        <v>13937356</v>
      </c>
      <c r="S711">
        <v>22935414</v>
      </c>
      <c r="T711">
        <v>11321936</v>
      </c>
      <c r="U711">
        <v>66.25</v>
      </c>
      <c r="V711">
        <v>5.91</v>
      </c>
      <c r="W711">
        <v>2675</v>
      </c>
      <c r="X711">
        <v>0.91</v>
      </c>
      <c r="Y711">
        <v>53.91</v>
      </c>
    </row>
    <row r="712" spans="1:25" x14ac:dyDescent="0.3">
      <c r="A712" t="s">
        <v>29</v>
      </c>
      <c r="B712" t="s">
        <v>34</v>
      </c>
      <c r="C712" t="s">
        <v>39</v>
      </c>
      <c r="D712" s="1">
        <v>44907</v>
      </c>
      <c r="E712">
        <v>47118152</v>
      </c>
      <c r="F712">
        <v>5710</v>
      </c>
      <c r="G712">
        <v>23.9</v>
      </c>
      <c r="H712">
        <v>23486</v>
      </c>
      <c r="I712">
        <v>402339</v>
      </c>
      <c r="J712">
        <v>25570</v>
      </c>
      <c r="K712">
        <v>15353</v>
      </c>
      <c r="L712">
        <v>1056</v>
      </c>
      <c r="M712">
        <v>622339</v>
      </c>
      <c r="N712">
        <v>384574</v>
      </c>
      <c r="O712">
        <v>7080</v>
      </c>
      <c r="P712">
        <v>1100123</v>
      </c>
      <c r="Q712">
        <v>21.62</v>
      </c>
      <c r="R712">
        <v>30943655</v>
      </c>
      <c r="S712">
        <v>20541815</v>
      </c>
      <c r="T712">
        <v>9756659</v>
      </c>
      <c r="U712">
        <v>37.119999999999997</v>
      </c>
      <c r="V712">
        <v>0.84</v>
      </c>
      <c r="W712">
        <v>4177</v>
      </c>
      <c r="X712">
        <v>3.28</v>
      </c>
      <c r="Y712">
        <v>19.86</v>
      </c>
    </row>
    <row r="713" spans="1:25" x14ac:dyDescent="0.3">
      <c r="A713" t="s">
        <v>25</v>
      </c>
      <c r="B713" t="s">
        <v>32</v>
      </c>
      <c r="C713" t="s">
        <v>37</v>
      </c>
      <c r="D713" s="1">
        <v>44908</v>
      </c>
      <c r="E713">
        <v>31499906</v>
      </c>
      <c r="F713">
        <v>4528</v>
      </c>
      <c r="G713">
        <v>24.5</v>
      </c>
      <c r="H713">
        <v>39258</v>
      </c>
      <c r="I713">
        <v>664582</v>
      </c>
      <c r="J713">
        <v>30255</v>
      </c>
      <c r="K713">
        <v>38608</v>
      </c>
      <c r="L713">
        <v>259</v>
      </c>
      <c r="M713">
        <v>865438</v>
      </c>
      <c r="N713">
        <v>8898</v>
      </c>
      <c r="O713">
        <v>4942</v>
      </c>
      <c r="P713">
        <v>158234</v>
      </c>
      <c r="Q713">
        <v>1.46</v>
      </c>
      <c r="R713">
        <v>12212436</v>
      </c>
      <c r="S713">
        <v>38230048</v>
      </c>
      <c r="T713">
        <v>13199751</v>
      </c>
      <c r="U713">
        <v>64.599999999999994</v>
      </c>
      <c r="V713">
        <v>5.38</v>
      </c>
      <c r="W713">
        <v>1681</v>
      </c>
      <c r="X713">
        <v>1.3</v>
      </c>
      <c r="Y713">
        <v>53.95</v>
      </c>
    </row>
    <row r="714" spans="1:25" x14ac:dyDescent="0.3">
      <c r="A714" t="s">
        <v>27</v>
      </c>
      <c r="B714" t="s">
        <v>35</v>
      </c>
      <c r="C714" t="s">
        <v>38</v>
      </c>
      <c r="D714" s="1">
        <v>44909</v>
      </c>
      <c r="E714">
        <v>20147790</v>
      </c>
      <c r="F714">
        <v>8260</v>
      </c>
      <c r="G714">
        <v>30.4</v>
      </c>
      <c r="H714">
        <v>58716</v>
      </c>
      <c r="I714">
        <v>811506</v>
      </c>
      <c r="J714">
        <v>21182</v>
      </c>
      <c r="K714">
        <v>7533</v>
      </c>
      <c r="L714">
        <v>1257</v>
      </c>
      <c r="M714">
        <v>663143</v>
      </c>
      <c r="N714">
        <v>156315</v>
      </c>
      <c r="O714">
        <v>6961</v>
      </c>
      <c r="P714">
        <v>745809</v>
      </c>
      <c r="Q714">
        <v>19.54</v>
      </c>
      <c r="R714">
        <v>33001118</v>
      </c>
      <c r="S714">
        <v>30676863</v>
      </c>
      <c r="T714">
        <v>16578887</v>
      </c>
      <c r="U714">
        <v>35.619999999999997</v>
      </c>
      <c r="V714">
        <v>6.29</v>
      </c>
      <c r="W714">
        <v>107</v>
      </c>
      <c r="X714">
        <v>4.53</v>
      </c>
      <c r="Y714">
        <v>18.3</v>
      </c>
    </row>
    <row r="715" spans="1:25" x14ac:dyDescent="0.3">
      <c r="A715" t="s">
        <v>27</v>
      </c>
      <c r="B715" t="s">
        <v>35</v>
      </c>
      <c r="C715" t="s">
        <v>38</v>
      </c>
      <c r="D715" s="1">
        <v>44910</v>
      </c>
      <c r="E715">
        <v>7382799</v>
      </c>
      <c r="F715">
        <v>10972</v>
      </c>
      <c r="G715">
        <v>19.600000000000001</v>
      </c>
      <c r="H715">
        <v>11748</v>
      </c>
      <c r="I715">
        <v>903520</v>
      </c>
      <c r="J715">
        <v>39373</v>
      </c>
      <c r="K715">
        <v>49787</v>
      </c>
      <c r="L715">
        <v>1538</v>
      </c>
      <c r="M715">
        <v>618812</v>
      </c>
      <c r="N715">
        <v>311939</v>
      </c>
      <c r="O715">
        <v>7730</v>
      </c>
      <c r="P715">
        <v>681047</v>
      </c>
      <c r="Q715">
        <v>6.64</v>
      </c>
      <c r="R715">
        <v>28444659</v>
      </c>
      <c r="S715">
        <v>8633829</v>
      </c>
      <c r="T715">
        <v>28820694</v>
      </c>
      <c r="U715">
        <v>67.38</v>
      </c>
      <c r="V715">
        <v>2.3199999999999998</v>
      </c>
      <c r="W715">
        <v>1177</v>
      </c>
      <c r="X715">
        <v>0.59</v>
      </c>
      <c r="Y715">
        <v>43.87</v>
      </c>
    </row>
    <row r="716" spans="1:25" x14ac:dyDescent="0.3">
      <c r="A716" t="s">
        <v>28</v>
      </c>
      <c r="B716" t="s">
        <v>33</v>
      </c>
      <c r="C716" t="s">
        <v>37</v>
      </c>
      <c r="D716" s="1">
        <v>44911</v>
      </c>
      <c r="E716">
        <v>25229233</v>
      </c>
      <c r="F716">
        <v>3571</v>
      </c>
      <c r="G716">
        <v>30.7</v>
      </c>
      <c r="H716">
        <v>63785</v>
      </c>
      <c r="I716">
        <v>424041</v>
      </c>
      <c r="J716">
        <v>43019</v>
      </c>
      <c r="K716">
        <v>28449</v>
      </c>
      <c r="L716">
        <v>1882</v>
      </c>
      <c r="M716">
        <v>868413</v>
      </c>
      <c r="N716">
        <v>426063</v>
      </c>
      <c r="O716">
        <v>633</v>
      </c>
      <c r="P716">
        <v>1934764</v>
      </c>
      <c r="Q716">
        <v>2.46</v>
      </c>
      <c r="R716">
        <v>34178991</v>
      </c>
      <c r="S716">
        <v>6684419</v>
      </c>
      <c r="T716">
        <v>11605855</v>
      </c>
      <c r="U716">
        <v>72.92</v>
      </c>
      <c r="V716">
        <v>3.1</v>
      </c>
      <c r="W716">
        <v>361</v>
      </c>
      <c r="X716">
        <v>3.32</v>
      </c>
      <c r="Y716">
        <v>79.959999999999994</v>
      </c>
    </row>
    <row r="717" spans="1:25" x14ac:dyDescent="0.3">
      <c r="A717" t="s">
        <v>26</v>
      </c>
      <c r="B717" t="s">
        <v>32</v>
      </c>
      <c r="C717" t="s">
        <v>37</v>
      </c>
      <c r="D717" s="1">
        <v>44912</v>
      </c>
      <c r="E717">
        <v>40976415</v>
      </c>
      <c r="F717">
        <v>622</v>
      </c>
      <c r="G717">
        <v>34.4</v>
      </c>
      <c r="H717">
        <v>23738</v>
      </c>
      <c r="I717">
        <v>824271</v>
      </c>
      <c r="J717">
        <v>16043</v>
      </c>
      <c r="K717">
        <v>15534</v>
      </c>
      <c r="L717">
        <v>1331</v>
      </c>
      <c r="M717">
        <v>262899</v>
      </c>
      <c r="N717">
        <v>244042</v>
      </c>
      <c r="O717">
        <v>6822</v>
      </c>
      <c r="P717">
        <v>274139</v>
      </c>
      <c r="Q717">
        <v>9.02</v>
      </c>
      <c r="R717">
        <v>1100911</v>
      </c>
      <c r="S717">
        <v>35113001</v>
      </c>
      <c r="T717">
        <v>7490282</v>
      </c>
      <c r="U717">
        <v>69.06</v>
      </c>
      <c r="V717">
        <v>6.58</v>
      </c>
      <c r="W717">
        <v>3767</v>
      </c>
      <c r="X717">
        <v>3.98</v>
      </c>
      <c r="Y717">
        <v>46.19</v>
      </c>
    </row>
    <row r="718" spans="1:25" x14ac:dyDescent="0.3">
      <c r="A718" t="s">
        <v>31</v>
      </c>
      <c r="B718" t="s">
        <v>33</v>
      </c>
      <c r="C718" t="s">
        <v>41</v>
      </c>
      <c r="D718" s="1">
        <v>44913</v>
      </c>
      <c r="E718">
        <v>40581357</v>
      </c>
      <c r="F718">
        <v>7132</v>
      </c>
      <c r="G718">
        <v>33.5</v>
      </c>
      <c r="H718">
        <v>42662</v>
      </c>
      <c r="I718">
        <v>894544</v>
      </c>
      <c r="J718">
        <v>45532</v>
      </c>
      <c r="K718">
        <v>13295</v>
      </c>
      <c r="L718">
        <v>738</v>
      </c>
      <c r="M718">
        <v>515652</v>
      </c>
      <c r="N718">
        <v>230359</v>
      </c>
      <c r="O718">
        <v>4103</v>
      </c>
      <c r="P718">
        <v>450704</v>
      </c>
      <c r="Q718">
        <v>6.73</v>
      </c>
      <c r="R718">
        <v>35694899</v>
      </c>
      <c r="S718">
        <v>21835664</v>
      </c>
      <c r="T718">
        <v>18966894</v>
      </c>
      <c r="U718">
        <v>11.4</v>
      </c>
      <c r="V718">
        <v>4.95</v>
      </c>
      <c r="W718">
        <v>2051</v>
      </c>
      <c r="X718">
        <v>1.84</v>
      </c>
      <c r="Y718">
        <v>14.87</v>
      </c>
    </row>
    <row r="719" spans="1:25" x14ac:dyDescent="0.3">
      <c r="A719" t="s">
        <v>26</v>
      </c>
      <c r="B719" t="s">
        <v>32</v>
      </c>
      <c r="C719" t="s">
        <v>38</v>
      </c>
      <c r="D719" s="1">
        <v>44914</v>
      </c>
      <c r="E719">
        <v>22643202</v>
      </c>
      <c r="F719">
        <v>5445</v>
      </c>
      <c r="G719">
        <v>30.2</v>
      </c>
      <c r="H719">
        <v>16123</v>
      </c>
      <c r="I719">
        <v>914946</v>
      </c>
      <c r="J719">
        <v>35754</v>
      </c>
      <c r="K719">
        <v>10983</v>
      </c>
      <c r="L719">
        <v>795</v>
      </c>
      <c r="M719">
        <v>208127</v>
      </c>
      <c r="N719">
        <v>129644</v>
      </c>
      <c r="O719">
        <v>9584</v>
      </c>
      <c r="P719">
        <v>1052207</v>
      </c>
      <c r="Q719">
        <v>16.559999999999999</v>
      </c>
      <c r="R719">
        <v>2030245</v>
      </c>
      <c r="S719">
        <v>21024352</v>
      </c>
      <c r="T719">
        <v>11216977</v>
      </c>
      <c r="U719">
        <v>65.69</v>
      </c>
      <c r="V719">
        <v>8.65</v>
      </c>
      <c r="W719">
        <v>2787</v>
      </c>
      <c r="X719">
        <v>4.78</v>
      </c>
      <c r="Y719">
        <v>72.38</v>
      </c>
    </row>
    <row r="720" spans="1:25" x14ac:dyDescent="0.3">
      <c r="A720" t="s">
        <v>28</v>
      </c>
      <c r="B720" t="s">
        <v>33</v>
      </c>
      <c r="C720" t="s">
        <v>38</v>
      </c>
      <c r="D720" s="1">
        <v>44915</v>
      </c>
      <c r="E720">
        <v>45331979</v>
      </c>
      <c r="F720">
        <v>15457</v>
      </c>
      <c r="G720">
        <v>44.9</v>
      </c>
      <c r="H720">
        <v>26616</v>
      </c>
      <c r="I720">
        <v>593610</v>
      </c>
      <c r="J720">
        <v>400</v>
      </c>
      <c r="K720">
        <v>22704</v>
      </c>
      <c r="L720">
        <v>69</v>
      </c>
      <c r="M720">
        <v>540275</v>
      </c>
      <c r="N720">
        <v>152354</v>
      </c>
      <c r="O720">
        <v>6487</v>
      </c>
      <c r="P720">
        <v>138039</v>
      </c>
      <c r="Q720">
        <v>10.72</v>
      </c>
      <c r="R720">
        <v>36542938</v>
      </c>
      <c r="S720">
        <v>29457549</v>
      </c>
      <c r="T720">
        <v>2288421</v>
      </c>
      <c r="U720">
        <v>28</v>
      </c>
      <c r="V720">
        <v>3.75</v>
      </c>
      <c r="W720">
        <v>3927</v>
      </c>
      <c r="X720">
        <v>4.2699999999999996</v>
      </c>
      <c r="Y720">
        <v>18.68</v>
      </c>
    </row>
    <row r="721" spans="1:25" x14ac:dyDescent="0.3">
      <c r="A721" t="s">
        <v>27</v>
      </c>
      <c r="B721" t="s">
        <v>35</v>
      </c>
      <c r="C721" t="s">
        <v>41</v>
      </c>
      <c r="D721" s="1">
        <v>44916</v>
      </c>
      <c r="E721">
        <v>12874888</v>
      </c>
      <c r="F721">
        <v>18692</v>
      </c>
      <c r="G721">
        <v>22.7</v>
      </c>
      <c r="H721">
        <v>12182</v>
      </c>
      <c r="I721">
        <v>843753</v>
      </c>
      <c r="J721">
        <v>19239</v>
      </c>
      <c r="K721">
        <v>35784</v>
      </c>
      <c r="L721">
        <v>1477</v>
      </c>
      <c r="M721">
        <v>501049</v>
      </c>
      <c r="N721">
        <v>253900</v>
      </c>
      <c r="O721">
        <v>3446</v>
      </c>
      <c r="P721">
        <v>875726</v>
      </c>
      <c r="Q721">
        <v>28.98</v>
      </c>
      <c r="R721">
        <v>14033007</v>
      </c>
      <c r="S721">
        <v>18811946</v>
      </c>
      <c r="T721">
        <v>25275189</v>
      </c>
      <c r="U721">
        <v>2.88</v>
      </c>
      <c r="V721">
        <v>3.03</v>
      </c>
      <c r="W721">
        <v>2332</v>
      </c>
      <c r="X721">
        <v>1.54</v>
      </c>
      <c r="Y721">
        <v>73.849999999999994</v>
      </c>
    </row>
    <row r="722" spans="1:25" x14ac:dyDescent="0.3">
      <c r="A722" t="s">
        <v>26</v>
      </c>
      <c r="B722" t="s">
        <v>35</v>
      </c>
      <c r="C722" t="s">
        <v>40</v>
      </c>
      <c r="D722" s="1">
        <v>44917</v>
      </c>
      <c r="E722">
        <v>24036507</v>
      </c>
      <c r="F722">
        <v>11144</v>
      </c>
      <c r="G722">
        <v>34.200000000000003</v>
      </c>
      <c r="H722">
        <v>63013</v>
      </c>
      <c r="I722">
        <v>755534</v>
      </c>
      <c r="J722">
        <v>10416</v>
      </c>
      <c r="K722">
        <v>4312</v>
      </c>
      <c r="L722">
        <v>1462</v>
      </c>
      <c r="M722">
        <v>544134</v>
      </c>
      <c r="N722">
        <v>9515</v>
      </c>
      <c r="O722">
        <v>5738</v>
      </c>
      <c r="P722">
        <v>1398998</v>
      </c>
      <c r="Q722">
        <v>28.91</v>
      </c>
      <c r="R722">
        <v>37203030</v>
      </c>
      <c r="S722">
        <v>9909378</v>
      </c>
      <c r="T722">
        <v>521291</v>
      </c>
      <c r="U722">
        <v>41.48</v>
      </c>
      <c r="V722">
        <v>9.86</v>
      </c>
      <c r="W722">
        <v>3233</v>
      </c>
      <c r="X722">
        <v>0.14000000000000001</v>
      </c>
      <c r="Y722">
        <v>47.94</v>
      </c>
    </row>
    <row r="723" spans="1:25" x14ac:dyDescent="0.3">
      <c r="A723" t="s">
        <v>27</v>
      </c>
      <c r="B723" t="s">
        <v>34</v>
      </c>
      <c r="C723" t="s">
        <v>41</v>
      </c>
      <c r="D723" s="1">
        <v>44918</v>
      </c>
      <c r="E723">
        <v>8843528</v>
      </c>
      <c r="F723">
        <v>700</v>
      </c>
      <c r="G723">
        <v>20</v>
      </c>
      <c r="H723">
        <v>32331</v>
      </c>
      <c r="I723">
        <v>635388</v>
      </c>
      <c r="J723">
        <v>3412</v>
      </c>
      <c r="K723">
        <v>22401</v>
      </c>
      <c r="L723">
        <v>1848</v>
      </c>
      <c r="M723">
        <v>821982</v>
      </c>
      <c r="N723">
        <v>404401</v>
      </c>
      <c r="O723">
        <v>3098</v>
      </c>
      <c r="P723">
        <v>589759</v>
      </c>
      <c r="Q723">
        <v>13.31</v>
      </c>
      <c r="R723">
        <v>4243638</v>
      </c>
      <c r="S723">
        <v>16030935</v>
      </c>
      <c r="T723">
        <v>298510</v>
      </c>
      <c r="U723">
        <v>43.35</v>
      </c>
      <c r="V723">
        <v>9.16</v>
      </c>
      <c r="W723">
        <v>1481</v>
      </c>
      <c r="X723">
        <v>1.55</v>
      </c>
      <c r="Y723">
        <v>45.37</v>
      </c>
    </row>
    <row r="724" spans="1:25" x14ac:dyDescent="0.3">
      <c r="A724" t="s">
        <v>25</v>
      </c>
      <c r="B724" t="s">
        <v>33</v>
      </c>
      <c r="C724" t="s">
        <v>39</v>
      </c>
      <c r="D724" s="1">
        <v>44919</v>
      </c>
      <c r="E724">
        <v>44542449</v>
      </c>
      <c r="F724">
        <v>5791</v>
      </c>
      <c r="G724">
        <v>20.3</v>
      </c>
      <c r="H724">
        <v>47098</v>
      </c>
      <c r="I724">
        <v>524321</v>
      </c>
      <c r="J724">
        <v>16440</v>
      </c>
      <c r="K724">
        <v>4621</v>
      </c>
      <c r="L724">
        <v>1387</v>
      </c>
      <c r="M724">
        <v>271388</v>
      </c>
      <c r="N724">
        <v>408324</v>
      </c>
      <c r="O724">
        <v>8097</v>
      </c>
      <c r="P724">
        <v>300260</v>
      </c>
      <c r="Q724">
        <v>23.85</v>
      </c>
      <c r="R724">
        <v>23255636</v>
      </c>
      <c r="S724">
        <v>28968541</v>
      </c>
      <c r="T724">
        <v>4640475</v>
      </c>
      <c r="U724">
        <v>46.72</v>
      </c>
      <c r="V724">
        <v>0.78</v>
      </c>
      <c r="W724">
        <v>3175</v>
      </c>
      <c r="X724">
        <v>1.48</v>
      </c>
      <c r="Y724">
        <v>85.14</v>
      </c>
    </row>
    <row r="725" spans="1:25" x14ac:dyDescent="0.3">
      <c r="A725" t="s">
        <v>31</v>
      </c>
      <c r="B725" t="s">
        <v>36</v>
      </c>
      <c r="C725" t="s">
        <v>38</v>
      </c>
      <c r="D725" s="1">
        <v>44920</v>
      </c>
      <c r="E725">
        <v>22809604</v>
      </c>
      <c r="F725">
        <v>13331</v>
      </c>
      <c r="G725">
        <v>36.4</v>
      </c>
      <c r="H725">
        <v>27128</v>
      </c>
      <c r="I725">
        <v>420204</v>
      </c>
      <c r="J725">
        <v>24406</v>
      </c>
      <c r="K725">
        <v>9382</v>
      </c>
      <c r="L725">
        <v>982</v>
      </c>
      <c r="M725">
        <v>418472</v>
      </c>
      <c r="N725">
        <v>87738</v>
      </c>
      <c r="O725">
        <v>5476</v>
      </c>
      <c r="P725">
        <v>1928124</v>
      </c>
      <c r="Q725">
        <v>0.4</v>
      </c>
      <c r="R725">
        <v>38989580</v>
      </c>
      <c r="S725">
        <v>16349781</v>
      </c>
      <c r="T725">
        <v>99830</v>
      </c>
      <c r="U725">
        <v>70.48</v>
      </c>
      <c r="V725">
        <v>7.82</v>
      </c>
      <c r="W725">
        <v>4947</v>
      </c>
      <c r="X725">
        <v>4.46</v>
      </c>
      <c r="Y725">
        <v>70.86</v>
      </c>
    </row>
    <row r="726" spans="1:25" x14ac:dyDescent="0.3">
      <c r="A726" t="s">
        <v>25</v>
      </c>
      <c r="B726" t="s">
        <v>34</v>
      </c>
      <c r="C726" t="s">
        <v>37</v>
      </c>
      <c r="D726" s="1">
        <v>44921</v>
      </c>
      <c r="E726">
        <v>42074796</v>
      </c>
      <c r="F726">
        <v>6888</v>
      </c>
      <c r="G726">
        <v>36.1</v>
      </c>
      <c r="H726">
        <v>32556</v>
      </c>
      <c r="I726">
        <v>822939</v>
      </c>
      <c r="J726">
        <v>1875</v>
      </c>
      <c r="K726">
        <v>24322</v>
      </c>
      <c r="L726">
        <v>1789</v>
      </c>
      <c r="M726">
        <v>62096</v>
      </c>
      <c r="N726">
        <v>18552</v>
      </c>
      <c r="O726">
        <v>8253</v>
      </c>
      <c r="P726">
        <v>1477019</v>
      </c>
      <c r="Q726">
        <v>16.43</v>
      </c>
      <c r="R726">
        <v>39649444</v>
      </c>
      <c r="S726">
        <v>12873211</v>
      </c>
      <c r="T726">
        <v>13344485</v>
      </c>
      <c r="U726">
        <v>30.88</v>
      </c>
      <c r="V726">
        <v>1.55</v>
      </c>
      <c r="W726">
        <v>4384</v>
      </c>
      <c r="X726">
        <v>4.84</v>
      </c>
      <c r="Y726">
        <v>3.29</v>
      </c>
    </row>
    <row r="727" spans="1:25" x14ac:dyDescent="0.3">
      <c r="A727" t="s">
        <v>27</v>
      </c>
      <c r="B727" t="s">
        <v>33</v>
      </c>
      <c r="C727" t="s">
        <v>39</v>
      </c>
      <c r="D727" s="1">
        <v>44922</v>
      </c>
      <c r="E727">
        <v>41506179</v>
      </c>
      <c r="F727">
        <v>19021</v>
      </c>
      <c r="G727">
        <v>46.1</v>
      </c>
      <c r="H727">
        <v>22876</v>
      </c>
      <c r="I727">
        <v>100244</v>
      </c>
      <c r="J727">
        <v>37066</v>
      </c>
      <c r="K727">
        <v>14090</v>
      </c>
      <c r="L727">
        <v>480</v>
      </c>
      <c r="M727">
        <v>739257</v>
      </c>
      <c r="N727">
        <v>457391</v>
      </c>
      <c r="O727">
        <v>5181</v>
      </c>
      <c r="P727">
        <v>1706878</v>
      </c>
      <c r="Q727">
        <v>22.3</v>
      </c>
      <c r="R727">
        <v>24156974</v>
      </c>
      <c r="S727">
        <v>13358729</v>
      </c>
      <c r="T727">
        <v>10454961</v>
      </c>
      <c r="U727">
        <v>31.53</v>
      </c>
      <c r="V727">
        <v>0.76</v>
      </c>
      <c r="W727">
        <v>1825</v>
      </c>
      <c r="X727">
        <v>0.45</v>
      </c>
      <c r="Y727">
        <v>29.62</v>
      </c>
    </row>
    <row r="728" spans="1:25" x14ac:dyDescent="0.3">
      <c r="A728" t="s">
        <v>27</v>
      </c>
      <c r="B728" t="s">
        <v>33</v>
      </c>
      <c r="C728" t="s">
        <v>38</v>
      </c>
      <c r="D728" s="1">
        <v>44923</v>
      </c>
      <c r="E728">
        <v>28838206</v>
      </c>
      <c r="F728">
        <v>3312</v>
      </c>
      <c r="G728">
        <v>35.9</v>
      </c>
      <c r="H728">
        <v>9949</v>
      </c>
      <c r="I728">
        <v>492860</v>
      </c>
      <c r="J728">
        <v>36536</v>
      </c>
      <c r="K728">
        <v>15092</v>
      </c>
      <c r="L728">
        <v>1167</v>
      </c>
      <c r="M728">
        <v>382284</v>
      </c>
      <c r="N728">
        <v>401436</v>
      </c>
      <c r="O728">
        <v>1817</v>
      </c>
      <c r="P728">
        <v>572952</v>
      </c>
      <c r="Q728">
        <v>6.51</v>
      </c>
      <c r="R728">
        <v>49776729</v>
      </c>
      <c r="S728">
        <v>8537968</v>
      </c>
      <c r="T728">
        <v>22848439</v>
      </c>
      <c r="U728">
        <v>6.06</v>
      </c>
      <c r="V728">
        <v>3.1</v>
      </c>
      <c r="W728">
        <v>1368</v>
      </c>
      <c r="X728">
        <v>2.41</v>
      </c>
      <c r="Y728">
        <v>87.09</v>
      </c>
    </row>
    <row r="729" spans="1:25" x14ac:dyDescent="0.3">
      <c r="A729" t="s">
        <v>29</v>
      </c>
      <c r="B729" t="s">
        <v>34</v>
      </c>
      <c r="C729" t="s">
        <v>41</v>
      </c>
      <c r="D729" s="1">
        <v>44924</v>
      </c>
      <c r="E729">
        <v>4381857</v>
      </c>
      <c r="F729">
        <v>17772</v>
      </c>
      <c r="G729">
        <v>48.7</v>
      </c>
      <c r="H729">
        <v>52962</v>
      </c>
      <c r="I729">
        <v>388932</v>
      </c>
      <c r="J729">
        <v>5752</v>
      </c>
      <c r="K729">
        <v>47419</v>
      </c>
      <c r="L729">
        <v>23</v>
      </c>
      <c r="M729">
        <v>841964</v>
      </c>
      <c r="N729">
        <v>195557</v>
      </c>
      <c r="O729">
        <v>8824</v>
      </c>
      <c r="P729">
        <v>684429</v>
      </c>
      <c r="Q729">
        <v>1.84</v>
      </c>
      <c r="R729">
        <v>33761255</v>
      </c>
      <c r="S729">
        <v>37012892</v>
      </c>
      <c r="T729">
        <v>16074206</v>
      </c>
      <c r="U729">
        <v>68.680000000000007</v>
      </c>
      <c r="V729">
        <v>3.06</v>
      </c>
      <c r="W729">
        <v>4257</v>
      </c>
      <c r="X729">
        <v>2.79</v>
      </c>
      <c r="Y729">
        <v>1.83</v>
      </c>
    </row>
    <row r="730" spans="1:25" x14ac:dyDescent="0.3">
      <c r="A730" t="s">
        <v>29</v>
      </c>
      <c r="B730" t="s">
        <v>35</v>
      </c>
      <c r="C730" t="s">
        <v>39</v>
      </c>
      <c r="D730" s="1">
        <v>44925</v>
      </c>
      <c r="E730">
        <v>38592303</v>
      </c>
      <c r="F730">
        <v>5046</v>
      </c>
      <c r="G730">
        <v>19.600000000000001</v>
      </c>
      <c r="H730">
        <v>25099</v>
      </c>
      <c r="I730">
        <v>358395</v>
      </c>
      <c r="J730">
        <v>21217</v>
      </c>
      <c r="K730">
        <v>42871</v>
      </c>
      <c r="L730">
        <v>964</v>
      </c>
      <c r="M730">
        <v>829619</v>
      </c>
      <c r="N730">
        <v>466672</v>
      </c>
      <c r="O730">
        <v>4887</v>
      </c>
      <c r="P730">
        <v>1136918</v>
      </c>
      <c r="Q730">
        <v>4.68</v>
      </c>
      <c r="R730">
        <v>38521069</v>
      </c>
      <c r="S730">
        <v>27480999</v>
      </c>
      <c r="T730">
        <v>28889459</v>
      </c>
      <c r="U730">
        <v>56.78</v>
      </c>
      <c r="V730">
        <v>8.2799999999999994</v>
      </c>
      <c r="W730">
        <v>3209</v>
      </c>
      <c r="X730">
        <v>0.56000000000000005</v>
      </c>
      <c r="Y730">
        <v>54.53</v>
      </c>
    </row>
    <row r="731" spans="1:25" x14ac:dyDescent="0.3">
      <c r="A731" t="s">
        <v>25</v>
      </c>
      <c r="B731" t="s">
        <v>33</v>
      </c>
      <c r="C731" t="s">
        <v>38</v>
      </c>
      <c r="D731" s="1">
        <v>44926</v>
      </c>
      <c r="E731">
        <v>5239400</v>
      </c>
      <c r="F731">
        <v>11876</v>
      </c>
      <c r="G731">
        <v>21.1</v>
      </c>
      <c r="H731">
        <v>13716</v>
      </c>
      <c r="I731">
        <v>811238</v>
      </c>
      <c r="J731">
        <v>12489</v>
      </c>
      <c r="K731">
        <v>30687</v>
      </c>
      <c r="L731">
        <v>1448</v>
      </c>
      <c r="M731">
        <v>177675</v>
      </c>
      <c r="N731">
        <v>110305</v>
      </c>
      <c r="O731">
        <v>2598</v>
      </c>
      <c r="P731">
        <v>15407</v>
      </c>
      <c r="Q731">
        <v>13.26</v>
      </c>
      <c r="R731">
        <v>36468710</v>
      </c>
      <c r="S731">
        <v>15371509</v>
      </c>
      <c r="T731">
        <v>13544712</v>
      </c>
      <c r="U731">
        <v>34.94</v>
      </c>
      <c r="V731">
        <v>7.25</v>
      </c>
      <c r="W731">
        <v>1378</v>
      </c>
      <c r="X731">
        <v>1.95</v>
      </c>
      <c r="Y731">
        <v>72.78</v>
      </c>
    </row>
    <row r="732" spans="1:25" x14ac:dyDescent="0.3">
      <c r="A732" t="s">
        <v>30</v>
      </c>
      <c r="B732" t="s">
        <v>35</v>
      </c>
      <c r="C732" t="s">
        <v>40</v>
      </c>
      <c r="D732" s="1">
        <v>44927</v>
      </c>
      <c r="E732">
        <v>45116869</v>
      </c>
      <c r="F732">
        <v>2877</v>
      </c>
      <c r="G732">
        <v>19.399999999999999</v>
      </c>
      <c r="H732">
        <v>53611</v>
      </c>
      <c r="I732">
        <v>131364</v>
      </c>
      <c r="J732">
        <v>1353</v>
      </c>
      <c r="K732">
        <v>20884</v>
      </c>
      <c r="L732">
        <v>745</v>
      </c>
      <c r="M732">
        <v>153548</v>
      </c>
      <c r="N732">
        <v>18270</v>
      </c>
      <c r="O732">
        <v>9492</v>
      </c>
      <c r="P732">
        <v>1163502</v>
      </c>
      <c r="Q732">
        <v>15.19</v>
      </c>
      <c r="R732">
        <v>10648085</v>
      </c>
      <c r="S732">
        <v>23286216</v>
      </c>
      <c r="T732">
        <v>19683591</v>
      </c>
      <c r="U732">
        <v>70.52</v>
      </c>
      <c r="V732">
        <v>9.83</v>
      </c>
      <c r="W732">
        <v>4435</v>
      </c>
      <c r="X732">
        <v>1.65</v>
      </c>
      <c r="Y732">
        <v>62.19</v>
      </c>
    </row>
    <row r="733" spans="1:25" x14ac:dyDescent="0.3">
      <c r="A733" t="s">
        <v>25</v>
      </c>
      <c r="B733" t="s">
        <v>34</v>
      </c>
      <c r="C733" t="s">
        <v>40</v>
      </c>
      <c r="D733" s="1">
        <v>44928</v>
      </c>
      <c r="E733">
        <v>15668970</v>
      </c>
      <c r="F733">
        <v>14261</v>
      </c>
      <c r="G733">
        <v>23.9</v>
      </c>
      <c r="H733">
        <v>39885</v>
      </c>
      <c r="I733">
        <v>824333</v>
      </c>
      <c r="J733">
        <v>26986</v>
      </c>
      <c r="K733">
        <v>8388</v>
      </c>
      <c r="L733">
        <v>844</v>
      </c>
      <c r="M733">
        <v>849795</v>
      </c>
      <c r="N733">
        <v>16359</v>
      </c>
      <c r="O733">
        <v>2653</v>
      </c>
      <c r="P733">
        <v>322345</v>
      </c>
      <c r="Q733">
        <v>11.43</v>
      </c>
      <c r="R733">
        <v>46816934</v>
      </c>
      <c r="S733">
        <v>9754043</v>
      </c>
      <c r="T733">
        <v>1319021</v>
      </c>
      <c r="U733">
        <v>53.74</v>
      </c>
      <c r="V733">
        <v>7.26</v>
      </c>
      <c r="W733">
        <v>4024</v>
      </c>
      <c r="X733">
        <v>2.73</v>
      </c>
      <c r="Y733">
        <v>76.05</v>
      </c>
    </row>
    <row r="734" spans="1:25" x14ac:dyDescent="0.3">
      <c r="A734" t="s">
        <v>29</v>
      </c>
      <c r="B734" t="s">
        <v>35</v>
      </c>
      <c r="C734" t="s">
        <v>37</v>
      </c>
      <c r="D734" s="1">
        <v>44929</v>
      </c>
      <c r="E734">
        <v>22648023</v>
      </c>
      <c r="F734">
        <v>5282</v>
      </c>
      <c r="G734">
        <v>35.299999999999997</v>
      </c>
      <c r="H734">
        <v>54144</v>
      </c>
      <c r="I734">
        <v>411259</v>
      </c>
      <c r="J734">
        <v>21371</v>
      </c>
      <c r="K734">
        <v>1607</v>
      </c>
      <c r="L734">
        <v>1198</v>
      </c>
      <c r="M734">
        <v>394307</v>
      </c>
      <c r="N734">
        <v>284343</v>
      </c>
      <c r="O734">
        <v>1454</v>
      </c>
      <c r="P734">
        <v>867525</v>
      </c>
      <c r="Q734">
        <v>13.2</v>
      </c>
      <c r="R734">
        <v>49468118</v>
      </c>
      <c r="S734">
        <v>4462571</v>
      </c>
      <c r="T734">
        <v>22146962</v>
      </c>
      <c r="U734">
        <v>46.92</v>
      </c>
      <c r="V734">
        <v>4.47</v>
      </c>
      <c r="W734">
        <v>4727</v>
      </c>
      <c r="X734">
        <v>3.34</v>
      </c>
      <c r="Y734">
        <v>72.569999999999993</v>
      </c>
    </row>
    <row r="735" spans="1:25" x14ac:dyDescent="0.3">
      <c r="A735" t="s">
        <v>27</v>
      </c>
      <c r="B735" t="s">
        <v>32</v>
      </c>
      <c r="C735" t="s">
        <v>38</v>
      </c>
      <c r="D735" s="1">
        <v>44930</v>
      </c>
      <c r="E735">
        <v>30943477</v>
      </c>
      <c r="F735">
        <v>2267</v>
      </c>
      <c r="G735">
        <v>38.700000000000003</v>
      </c>
      <c r="H735">
        <v>66220</v>
      </c>
      <c r="I735">
        <v>469977</v>
      </c>
      <c r="J735">
        <v>39365</v>
      </c>
      <c r="K735">
        <v>11610</v>
      </c>
      <c r="L735">
        <v>1867</v>
      </c>
      <c r="M735">
        <v>6777</v>
      </c>
      <c r="N735">
        <v>140821</v>
      </c>
      <c r="O735">
        <v>1138</v>
      </c>
      <c r="P735">
        <v>448564</v>
      </c>
      <c r="Q735">
        <v>14.11</v>
      </c>
      <c r="R735">
        <v>3995705</v>
      </c>
      <c r="S735">
        <v>9702389</v>
      </c>
      <c r="T735">
        <v>17929415</v>
      </c>
      <c r="U735">
        <v>51.13</v>
      </c>
      <c r="V735">
        <v>7.14</v>
      </c>
      <c r="W735">
        <v>4515</v>
      </c>
      <c r="X735">
        <v>3.55</v>
      </c>
      <c r="Y735">
        <v>69.2</v>
      </c>
    </row>
    <row r="736" spans="1:25" x14ac:dyDescent="0.3">
      <c r="A736" t="s">
        <v>28</v>
      </c>
      <c r="B736" t="s">
        <v>36</v>
      </c>
      <c r="C736" t="s">
        <v>40</v>
      </c>
      <c r="D736" s="1">
        <v>44931</v>
      </c>
      <c r="E736">
        <v>26004364</v>
      </c>
      <c r="F736">
        <v>19973</v>
      </c>
      <c r="G736">
        <v>19.5</v>
      </c>
      <c r="H736">
        <v>8837</v>
      </c>
      <c r="I736">
        <v>403968</v>
      </c>
      <c r="J736">
        <v>14691</v>
      </c>
      <c r="K736">
        <v>3757</v>
      </c>
      <c r="L736">
        <v>324</v>
      </c>
      <c r="M736">
        <v>848792</v>
      </c>
      <c r="N736">
        <v>129494</v>
      </c>
      <c r="O736">
        <v>5807</v>
      </c>
      <c r="P736">
        <v>1786917</v>
      </c>
      <c r="Q736">
        <v>23.08</v>
      </c>
      <c r="R736">
        <v>24527389</v>
      </c>
      <c r="S736">
        <v>1154969</v>
      </c>
      <c r="T736">
        <v>19366113</v>
      </c>
      <c r="U736">
        <v>63.63</v>
      </c>
      <c r="V736">
        <v>9.99</v>
      </c>
      <c r="W736">
        <v>269</v>
      </c>
      <c r="X736">
        <v>0.77</v>
      </c>
      <c r="Y736">
        <v>82.15</v>
      </c>
    </row>
    <row r="737" spans="1:25" x14ac:dyDescent="0.3">
      <c r="A737" t="s">
        <v>25</v>
      </c>
      <c r="B737" t="s">
        <v>33</v>
      </c>
      <c r="C737" t="s">
        <v>41</v>
      </c>
      <c r="D737" s="1">
        <v>44932</v>
      </c>
      <c r="E737">
        <v>17778806</v>
      </c>
      <c r="F737">
        <v>14282</v>
      </c>
      <c r="G737">
        <v>48.3</v>
      </c>
      <c r="H737">
        <v>50355</v>
      </c>
      <c r="I737">
        <v>201065</v>
      </c>
      <c r="J737">
        <v>4311</v>
      </c>
      <c r="K737">
        <v>13889</v>
      </c>
      <c r="L737">
        <v>1892</v>
      </c>
      <c r="M737">
        <v>133832</v>
      </c>
      <c r="N737">
        <v>489107</v>
      </c>
      <c r="O737">
        <v>3192</v>
      </c>
      <c r="P737">
        <v>1591742</v>
      </c>
      <c r="Q737">
        <v>3.16</v>
      </c>
      <c r="R737">
        <v>18618257</v>
      </c>
      <c r="S737">
        <v>11264264</v>
      </c>
      <c r="T737">
        <v>25540792</v>
      </c>
      <c r="U737">
        <v>66</v>
      </c>
      <c r="V737">
        <v>7.25</v>
      </c>
      <c r="W737">
        <v>3352</v>
      </c>
      <c r="X737">
        <v>4.08</v>
      </c>
      <c r="Y737">
        <v>64.569999999999993</v>
      </c>
    </row>
    <row r="738" spans="1:25" x14ac:dyDescent="0.3">
      <c r="A738" t="s">
        <v>27</v>
      </c>
      <c r="B738" t="s">
        <v>36</v>
      </c>
      <c r="C738" t="s">
        <v>38</v>
      </c>
      <c r="D738" s="1">
        <v>44933</v>
      </c>
      <c r="E738">
        <v>20637708</v>
      </c>
      <c r="F738">
        <v>14076</v>
      </c>
      <c r="G738">
        <v>44.9</v>
      </c>
      <c r="H738">
        <v>48299</v>
      </c>
      <c r="I738">
        <v>698976</v>
      </c>
      <c r="J738">
        <v>48075</v>
      </c>
      <c r="K738">
        <v>13027</v>
      </c>
      <c r="L738">
        <v>1694</v>
      </c>
      <c r="M738">
        <v>241015</v>
      </c>
      <c r="N738">
        <v>321502</v>
      </c>
      <c r="O738">
        <v>6116</v>
      </c>
      <c r="P738">
        <v>84100</v>
      </c>
      <c r="Q738">
        <v>23.07</v>
      </c>
      <c r="R738">
        <v>37286909</v>
      </c>
      <c r="S738">
        <v>13471379</v>
      </c>
      <c r="T738">
        <v>28216259</v>
      </c>
      <c r="U738">
        <v>28.9</v>
      </c>
      <c r="V738">
        <v>7.74</v>
      </c>
      <c r="W738">
        <v>2916</v>
      </c>
      <c r="X738">
        <v>3.42</v>
      </c>
      <c r="Y738">
        <v>40.24</v>
      </c>
    </row>
    <row r="739" spans="1:25" x14ac:dyDescent="0.3">
      <c r="A739" t="s">
        <v>28</v>
      </c>
      <c r="B739" t="s">
        <v>35</v>
      </c>
      <c r="C739" t="s">
        <v>41</v>
      </c>
      <c r="D739" s="1">
        <v>44934</v>
      </c>
      <c r="E739">
        <v>18149544</v>
      </c>
      <c r="F739">
        <v>19395</v>
      </c>
      <c r="G739">
        <v>27.5</v>
      </c>
      <c r="H739">
        <v>20159</v>
      </c>
      <c r="I739">
        <v>53127</v>
      </c>
      <c r="J739">
        <v>10794</v>
      </c>
      <c r="K739">
        <v>24825</v>
      </c>
      <c r="L739">
        <v>1883</v>
      </c>
      <c r="M739">
        <v>785365</v>
      </c>
      <c r="N739">
        <v>172209</v>
      </c>
      <c r="O739">
        <v>3759</v>
      </c>
      <c r="P739">
        <v>1914637</v>
      </c>
      <c r="Q739">
        <v>20.66</v>
      </c>
      <c r="R739">
        <v>25954921</v>
      </c>
      <c r="S739">
        <v>18127031</v>
      </c>
      <c r="T739">
        <v>13144094</v>
      </c>
      <c r="U739">
        <v>14.07</v>
      </c>
      <c r="V739">
        <v>9.41</v>
      </c>
      <c r="W739">
        <v>1946</v>
      </c>
      <c r="X739">
        <v>4.46</v>
      </c>
      <c r="Y739">
        <v>47.19</v>
      </c>
    </row>
    <row r="740" spans="1:25" x14ac:dyDescent="0.3">
      <c r="A740" t="s">
        <v>28</v>
      </c>
      <c r="B740" t="s">
        <v>33</v>
      </c>
      <c r="C740" t="s">
        <v>41</v>
      </c>
      <c r="D740" s="1">
        <v>44935</v>
      </c>
      <c r="E740">
        <v>38863911</v>
      </c>
      <c r="F740">
        <v>19660</v>
      </c>
      <c r="G740">
        <v>20.5</v>
      </c>
      <c r="H740">
        <v>52012</v>
      </c>
      <c r="I740">
        <v>993281</v>
      </c>
      <c r="J740">
        <v>2934</v>
      </c>
      <c r="K740">
        <v>18974</v>
      </c>
      <c r="L740">
        <v>1371</v>
      </c>
      <c r="M740">
        <v>721743</v>
      </c>
      <c r="N740">
        <v>274049</v>
      </c>
      <c r="O740">
        <v>3029</v>
      </c>
      <c r="P740">
        <v>1498212</v>
      </c>
      <c r="Q740">
        <v>22.25</v>
      </c>
      <c r="R740">
        <v>47100745</v>
      </c>
      <c r="S740">
        <v>12140067</v>
      </c>
      <c r="T740">
        <v>26706533</v>
      </c>
      <c r="U740">
        <v>15.66</v>
      </c>
      <c r="V740">
        <v>1.58</v>
      </c>
      <c r="W740">
        <v>4494</v>
      </c>
      <c r="X740">
        <v>2.2999999999999998</v>
      </c>
      <c r="Y740">
        <v>71.67</v>
      </c>
    </row>
    <row r="741" spans="1:25" x14ac:dyDescent="0.3">
      <c r="A741" t="s">
        <v>29</v>
      </c>
      <c r="B741" t="s">
        <v>35</v>
      </c>
      <c r="C741" t="s">
        <v>40</v>
      </c>
      <c r="D741" s="1">
        <v>44936</v>
      </c>
      <c r="E741">
        <v>47808038</v>
      </c>
      <c r="F741">
        <v>13928</v>
      </c>
      <c r="G741">
        <v>23.4</v>
      </c>
      <c r="H741">
        <v>60305</v>
      </c>
      <c r="I741">
        <v>787885</v>
      </c>
      <c r="J741">
        <v>16406</v>
      </c>
      <c r="K741">
        <v>28822</v>
      </c>
      <c r="L741">
        <v>797</v>
      </c>
      <c r="M741">
        <v>287385</v>
      </c>
      <c r="N741">
        <v>254699</v>
      </c>
      <c r="O741">
        <v>9552</v>
      </c>
      <c r="P741">
        <v>495308</v>
      </c>
      <c r="Q741">
        <v>22.03</v>
      </c>
      <c r="R741">
        <v>8378022</v>
      </c>
      <c r="S741">
        <v>25545973</v>
      </c>
      <c r="T741">
        <v>23934722</v>
      </c>
      <c r="U741">
        <v>63.94</v>
      </c>
      <c r="V741">
        <v>7.2</v>
      </c>
      <c r="W741">
        <v>2352</v>
      </c>
      <c r="X741">
        <v>4.4800000000000004</v>
      </c>
      <c r="Y741">
        <v>87.63</v>
      </c>
    </row>
    <row r="742" spans="1:25" x14ac:dyDescent="0.3">
      <c r="A742" t="s">
        <v>25</v>
      </c>
      <c r="B742" t="s">
        <v>32</v>
      </c>
      <c r="C742" t="s">
        <v>38</v>
      </c>
      <c r="D742" s="1">
        <v>44937</v>
      </c>
      <c r="E742">
        <v>3610691</v>
      </c>
      <c r="F742">
        <v>6887</v>
      </c>
      <c r="G742">
        <v>22.1</v>
      </c>
      <c r="H742">
        <v>18106</v>
      </c>
      <c r="I742">
        <v>862864</v>
      </c>
      <c r="J742">
        <v>10394</v>
      </c>
      <c r="K742">
        <v>40210</v>
      </c>
      <c r="L742">
        <v>17</v>
      </c>
      <c r="M742">
        <v>382364</v>
      </c>
      <c r="N742">
        <v>43247</v>
      </c>
      <c r="O742">
        <v>5095</v>
      </c>
      <c r="P742">
        <v>1272635</v>
      </c>
      <c r="Q742">
        <v>14.12</v>
      </c>
      <c r="R742">
        <v>22884189</v>
      </c>
      <c r="S742">
        <v>37521406</v>
      </c>
      <c r="T742">
        <v>21938274</v>
      </c>
      <c r="U742">
        <v>87.29</v>
      </c>
      <c r="V742">
        <v>8.58</v>
      </c>
      <c r="W742">
        <v>4597</v>
      </c>
      <c r="X742">
        <v>4.34</v>
      </c>
      <c r="Y742">
        <v>27.22</v>
      </c>
    </row>
    <row r="743" spans="1:25" x14ac:dyDescent="0.3">
      <c r="A743" t="s">
        <v>26</v>
      </c>
      <c r="B743" t="s">
        <v>34</v>
      </c>
      <c r="C743" t="s">
        <v>39</v>
      </c>
      <c r="D743" s="1">
        <v>44938</v>
      </c>
      <c r="E743">
        <v>18635313</v>
      </c>
      <c r="F743">
        <v>7081</v>
      </c>
      <c r="G743">
        <v>21.9</v>
      </c>
      <c r="H743">
        <v>59123</v>
      </c>
      <c r="I743">
        <v>910304</v>
      </c>
      <c r="J743">
        <v>26872</v>
      </c>
      <c r="K743">
        <v>24724</v>
      </c>
      <c r="L743">
        <v>43</v>
      </c>
      <c r="M743">
        <v>299855</v>
      </c>
      <c r="N743">
        <v>74380</v>
      </c>
      <c r="O743">
        <v>63</v>
      </c>
      <c r="P743">
        <v>1617032</v>
      </c>
      <c r="Q743">
        <v>6.34</v>
      </c>
      <c r="R743">
        <v>27121305</v>
      </c>
      <c r="S743">
        <v>36142592</v>
      </c>
      <c r="T743">
        <v>24974674</v>
      </c>
      <c r="U743">
        <v>40.950000000000003</v>
      </c>
      <c r="V743">
        <v>9.57</v>
      </c>
      <c r="W743">
        <v>4234</v>
      </c>
      <c r="X743">
        <v>2.25</v>
      </c>
      <c r="Y743">
        <v>34.21</v>
      </c>
    </row>
    <row r="744" spans="1:25" x14ac:dyDescent="0.3">
      <c r="A744" t="s">
        <v>31</v>
      </c>
      <c r="B744" t="s">
        <v>33</v>
      </c>
      <c r="C744" t="s">
        <v>40</v>
      </c>
      <c r="D744" s="1">
        <v>44939</v>
      </c>
      <c r="E744">
        <v>12188962</v>
      </c>
      <c r="F744">
        <v>14856</v>
      </c>
      <c r="G744">
        <v>34.6</v>
      </c>
      <c r="H744">
        <v>9720</v>
      </c>
      <c r="I744">
        <v>612650</v>
      </c>
      <c r="J744">
        <v>41708</v>
      </c>
      <c r="K744">
        <v>18900</v>
      </c>
      <c r="L744">
        <v>154</v>
      </c>
      <c r="M744">
        <v>765252</v>
      </c>
      <c r="N744">
        <v>177225</v>
      </c>
      <c r="O744">
        <v>1345</v>
      </c>
      <c r="P744">
        <v>1299972</v>
      </c>
      <c r="Q744">
        <v>16.100000000000001</v>
      </c>
      <c r="R744">
        <v>48753478</v>
      </c>
      <c r="S744">
        <v>23800900</v>
      </c>
      <c r="T744">
        <v>18372380</v>
      </c>
      <c r="U744">
        <v>16.95</v>
      </c>
      <c r="V744">
        <v>2.5</v>
      </c>
      <c r="W744">
        <v>3776</v>
      </c>
      <c r="X744">
        <v>1.97</v>
      </c>
      <c r="Y744">
        <v>93.07</v>
      </c>
    </row>
    <row r="745" spans="1:25" x14ac:dyDescent="0.3">
      <c r="A745" t="s">
        <v>29</v>
      </c>
      <c r="B745" t="s">
        <v>32</v>
      </c>
      <c r="C745" t="s">
        <v>40</v>
      </c>
      <c r="D745" s="1">
        <v>44940</v>
      </c>
      <c r="E745">
        <v>13931835</v>
      </c>
      <c r="F745">
        <v>3766</v>
      </c>
      <c r="G745">
        <v>25.9</v>
      </c>
      <c r="H745">
        <v>38661</v>
      </c>
      <c r="I745">
        <v>274120</v>
      </c>
      <c r="J745">
        <v>49956</v>
      </c>
      <c r="K745">
        <v>4735</v>
      </c>
      <c r="L745">
        <v>866</v>
      </c>
      <c r="M745">
        <v>783233</v>
      </c>
      <c r="N745">
        <v>369021</v>
      </c>
      <c r="O745">
        <v>974</v>
      </c>
      <c r="P745">
        <v>1824345</v>
      </c>
      <c r="Q745">
        <v>28.74</v>
      </c>
      <c r="R745">
        <v>45371910</v>
      </c>
      <c r="S745">
        <v>3109668</v>
      </c>
      <c r="T745">
        <v>17419529</v>
      </c>
      <c r="U745">
        <v>75.66</v>
      </c>
      <c r="V745">
        <v>5.29</v>
      </c>
      <c r="W745">
        <v>2092</v>
      </c>
      <c r="X745">
        <v>4.67</v>
      </c>
      <c r="Y745">
        <v>57.85</v>
      </c>
    </row>
    <row r="746" spans="1:25" x14ac:dyDescent="0.3">
      <c r="A746" t="s">
        <v>29</v>
      </c>
      <c r="B746" t="s">
        <v>32</v>
      </c>
      <c r="C746" t="s">
        <v>38</v>
      </c>
      <c r="D746" s="1">
        <v>44941</v>
      </c>
      <c r="E746">
        <v>25590373</v>
      </c>
      <c r="F746">
        <v>3464</v>
      </c>
      <c r="G746">
        <v>29.5</v>
      </c>
      <c r="H746">
        <v>22120</v>
      </c>
      <c r="I746">
        <v>639464</v>
      </c>
      <c r="J746">
        <v>41093</v>
      </c>
      <c r="K746">
        <v>43215</v>
      </c>
      <c r="L746">
        <v>921</v>
      </c>
      <c r="M746">
        <v>435258</v>
      </c>
      <c r="N746">
        <v>97941</v>
      </c>
      <c r="O746">
        <v>4161</v>
      </c>
      <c r="P746">
        <v>318006</v>
      </c>
      <c r="Q746">
        <v>17.66</v>
      </c>
      <c r="R746">
        <v>38785220</v>
      </c>
      <c r="S746">
        <v>16393445</v>
      </c>
      <c r="T746">
        <v>24316555</v>
      </c>
      <c r="U746">
        <v>83.25</v>
      </c>
      <c r="V746">
        <v>6.97</v>
      </c>
      <c r="W746">
        <v>572</v>
      </c>
      <c r="X746">
        <v>3.6</v>
      </c>
      <c r="Y746">
        <v>17.899999999999999</v>
      </c>
    </row>
    <row r="747" spans="1:25" x14ac:dyDescent="0.3">
      <c r="A747" t="s">
        <v>26</v>
      </c>
      <c r="B747" t="s">
        <v>33</v>
      </c>
      <c r="C747" t="s">
        <v>38</v>
      </c>
      <c r="D747" s="1">
        <v>44942</v>
      </c>
      <c r="E747">
        <v>18571531</v>
      </c>
      <c r="F747">
        <v>17882</v>
      </c>
      <c r="G747">
        <v>49.7</v>
      </c>
      <c r="H747">
        <v>20790</v>
      </c>
      <c r="I747">
        <v>100122</v>
      </c>
      <c r="J747">
        <v>20800</v>
      </c>
      <c r="K747">
        <v>20694</v>
      </c>
      <c r="L747">
        <v>1400</v>
      </c>
      <c r="M747">
        <v>269513</v>
      </c>
      <c r="N747">
        <v>484709</v>
      </c>
      <c r="O747">
        <v>5962</v>
      </c>
      <c r="P747">
        <v>1008126</v>
      </c>
      <c r="Q747">
        <v>0.33</v>
      </c>
      <c r="R747">
        <v>47789452</v>
      </c>
      <c r="S747">
        <v>24281810</v>
      </c>
      <c r="T747">
        <v>8811309</v>
      </c>
      <c r="U747">
        <v>88.06</v>
      </c>
      <c r="V747">
        <v>2.85</v>
      </c>
      <c r="W747">
        <v>2757</v>
      </c>
      <c r="X747">
        <v>4.6500000000000004</v>
      </c>
      <c r="Y747">
        <v>66.37</v>
      </c>
    </row>
    <row r="748" spans="1:25" x14ac:dyDescent="0.3">
      <c r="A748" t="s">
        <v>31</v>
      </c>
      <c r="B748" t="s">
        <v>35</v>
      </c>
      <c r="C748" t="s">
        <v>41</v>
      </c>
      <c r="D748" s="1">
        <v>44943</v>
      </c>
      <c r="E748">
        <v>23364811</v>
      </c>
      <c r="F748">
        <v>620</v>
      </c>
      <c r="G748">
        <v>39.9</v>
      </c>
      <c r="H748">
        <v>59655</v>
      </c>
      <c r="I748">
        <v>333548</v>
      </c>
      <c r="J748">
        <v>43397</v>
      </c>
      <c r="K748">
        <v>26335</v>
      </c>
      <c r="L748">
        <v>742</v>
      </c>
      <c r="M748">
        <v>487334</v>
      </c>
      <c r="N748">
        <v>124826</v>
      </c>
      <c r="O748">
        <v>9814</v>
      </c>
      <c r="P748">
        <v>1000529</v>
      </c>
      <c r="Q748">
        <v>1.79</v>
      </c>
      <c r="R748">
        <v>3360408</v>
      </c>
      <c r="S748">
        <v>24671303</v>
      </c>
      <c r="T748">
        <v>12441373</v>
      </c>
      <c r="U748">
        <v>60.68</v>
      </c>
      <c r="V748">
        <v>6.2</v>
      </c>
      <c r="W748">
        <v>3048</v>
      </c>
      <c r="X748">
        <v>4.01</v>
      </c>
      <c r="Y748">
        <v>99.08</v>
      </c>
    </row>
    <row r="749" spans="1:25" x14ac:dyDescent="0.3">
      <c r="A749" t="s">
        <v>27</v>
      </c>
      <c r="B749" t="s">
        <v>32</v>
      </c>
      <c r="C749" t="s">
        <v>38</v>
      </c>
      <c r="D749" s="1">
        <v>44944</v>
      </c>
      <c r="E749">
        <v>19852724</v>
      </c>
      <c r="F749">
        <v>19338</v>
      </c>
      <c r="G749">
        <v>48.4</v>
      </c>
      <c r="H749">
        <v>60643</v>
      </c>
      <c r="I749">
        <v>345076</v>
      </c>
      <c r="J749">
        <v>37909</v>
      </c>
      <c r="K749">
        <v>32552</v>
      </c>
      <c r="L749">
        <v>1906</v>
      </c>
      <c r="M749">
        <v>350260</v>
      </c>
      <c r="N749">
        <v>390603</v>
      </c>
      <c r="O749">
        <v>8649</v>
      </c>
      <c r="P749">
        <v>29004</v>
      </c>
      <c r="Q749">
        <v>29.79</v>
      </c>
      <c r="R749">
        <v>16978919</v>
      </c>
      <c r="S749">
        <v>1269343</v>
      </c>
      <c r="T749">
        <v>11574621</v>
      </c>
      <c r="U749">
        <v>86.07</v>
      </c>
      <c r="V749">
        <v>2.95</v>
      </c>
      <c r="W749">
        <v>3971</v>
      </c>
      <c r="X749">
        <v>3.09</v>
      </c>
      <c r="Y749">
        <v>82.35</v>
      </c>
    </row>
    <row r="750" spans="1:25" x14ac:dyDescent="0.3">
      <c r="A750" t="s">
        <v>30</v>
      </c>
      <c r="B750" t="s">
        <v>36</v>
      </c>
      <c r="C750" t="s">
        <v>41</v>
      </c>
      <c r="D750" s="1">
        <v>44945</v>
      </c>
      <c r="E750">
        <v>44819259</v>
      </c>
      <c r="F750">
        <v>13338</v>
      </c>
      <c r="G750">
        <v>22.6</v>
      </c>
      <c r="H750">
        <v>48374</v>
      </c>
      <c r="I750">
        <v>622458</v>
      </c>
      <c r="J750">
        <v>21352</v>
      </c>
      <c r="K750">
        <v>46047</v>
      </c>
      <c r="L750">
        <v>1851</v>
      </c>
      <c r="M750">
        <v>95015</v>
      </c>
      <c r="N750">
        <v>76315</v>
      </c>
      <c r="O750">
        <v>6596</v>
      </c>
      <c r="P750">
        <v>807903</v>
      </c>
      <c r="Q750">
        <v>2.16</v>
      </c>
      <c r="R750">
        <v>28162121</v>
      </c>
      <c r="S750">
        <v>7282060</v>
      </c>
      <c r="T750">
        <v>16450555</v>
      </c>
      <c r="U750">
        <v>1.54</v>
      </c>
      <c r="V750">
        <v>3.67</v>
      </c>
      <c r="W750">
        <v>959</v>
      </c>
      <c r="X750">
        <v>0.67</v>
      </c>
      <c r="Y750">
        <v>74.569999999999993</v>
      </c>
    </row>
    <row r="751" spans="1:25" x14ac:dyDescent="0.3">
      <c r="A751" t="s">
        <v>25</v>
      </c>
      <c r="B751" t="s">
        <v>32</v>
      </c>
      <c r="C751" t="s">
        <v>40</v>
      </c>
      <c r="D751" s="1">
        <v>44946</v>
      </c>
      <c r="E751">
        <v>43801351</v>
      </c>
      <c r="F751">
        <v>18939</v>
      </c>
      <c r="G751">
        <v>30.2</v>
      </c>
      <c r="H751">
        <v>43907</v>
      </c>
      <c r="I751">
        <v>340851</v>
      </c>
      <c r="J751">
        <v>36439</v>
      </c>
      <c r="K751">
        <v>13102</v>
      </c>
      <c r="L751">
        <v>1425</v>
      </c>
      <c r="M751">
        <v>150994</v>
      </c>
      <c r="N751">
        <v>113009</v>
      </c>
      <c r="O751">
        <v>3330</v>
      </c>
      <c r="P751">
        <v>525252</v>
      </c>
      <c r="Q751">
        <v>1.38</v>
      </c>
      <c r="R751">
        <v>19609934</v>
      </c>
      <c r="S751">
        <v>28660451</v>
      </c>
      <c r="T751">
        <v>5360593</v>
      </c>
      <c r="U751">
        <v>10.72</v>
      </c>
      <c r="V751">
        <v>4.6900000000000004</v>
      </c>
      <c r="W751">
        <v>4587</v>
      </c>
      <c r="X751">
        <v>1.53</v>
      </c>
      <c r="Y751">
        <v>20.8</v>
      </c>
    </row>
    <row r="752" spans="1:25" x14ac:dyDescent="0.3">
      <c r="A752" t="s">
        <v>30</v>
      </c>
      <c r="B752" t="s">
        <v>35</v>
      </c>
      <c r="C752" t="s">
        <v>37</v>
      </c>
      <c r="D752" s="1">
        <v>44947</v>
      </c>
      <c r="E752">
        <v>5010784</v>
      </c>
      <c r="F752">
        <v>967</v>
      </c>
      <c r="G752">
        <v>35.799999999999997</v>
      </c>
      <c r="H752">
        <v>51071</v>
      </c>
      <c r="I752">
        <v>483863</v>
      </c>
      <c r="J752">
        <v>28312</v>
      </c>
      <c r="K752">
        <v>30392</v>
      </c>
      <c r="L752">
        <v>224</v>
      </c>
      <c r="M752">
        <v>691473</v>
      </c>
      <c r="N752">
        <v>357609</v>
      </c>
      <c r="O752">
        <v>1740</v>
      </c>
      <c r="P752">
        <v>617108</v>
      </c>
      <c r="Q752">
        <v>10.59</v>
      </c>
      <c r="R752">
        <v>47772280</v>
      </c>
      <c r="S752">
        <v>8154410</v>
      </c>
      <c r="T752">
        <v>27950807</v>
      </c>
      <c r="U752">
        <v>9.26</v>
      </c>
      <c r="V752">
        <v>5.53</v>
      </c>
      <c r="W752">
        <v>4183</v>
      </c>
      <c r="X752">
        <v>4.8499999999999996</v>
      </c>
      <c r="Y752">
        <v>87.61</v>
      </c>
    </row>
    <row r="753" spans="1:25" x14ac:dyDescent="0.3">
      <c r="A753" t="s">
        <v>27</v>
      </c>
      <c r="B753" t="s">
        <v>35</v>
      </c>
      <c r="C753" t="s">
        <v>39</v>
      </c>
      <c r="D753" s="1">
        <v>44948</v>
      </c>
      <c r="E753">
        <v>31493940</v>
      </c>
      <c r="F753">
        <v>10116</v>
      </c>
      <c r="G753">
        <v>20.5</v>
      </c>
      <c r="H753">
        <v>35812</v>
      </c>
      <c r="I753">
        <v>952192</v>
      </c>
      <c r="J753">
        <v>40060</v>
      </c>
      <c r="K753">
        <v>39780</v>
      </c>
      <c r="L753">
        <v>216</v>
      </c>
      <c r="M753">
        <v>188588</v>
      </c>
      <c r="N753">
        <v>273229</v>
      </c>
      <c r="O753">
        <v>6055</v>
      </c>
      <c r="P753">
        <v>1240815</v>
      </c>
      <c r="Q753">
        <v>29.08</v>
      </c>
      <c r="R753">
        <v>8622654</v>
      </c>
      <c r="S753">
        <v>167659</v>
      </c>
      <c r="T753">
        <v>2670111</v>
      </c>
      <c r="U753">
        <v>71.260000000000005</v>
      </c>
      <c r="V753">
        <v>4.7699999999999996</v>
      </c>
      <c r="W753">
        <v>1930</v>
      </c>
      <c r="X753">
        <v>1.67</v>
      </c>
      <c r="Y753">
        <v>52.58</v>
      </c>
    </row>
    <row r="754" spans="1:25" x14ac:dyDescent="0.3">
      <c r="A754" t="s">
        <v>29</v>
      </c>
      <c r="B754" t="s">
        <v>36</v>
      </c>
      <c r="C754" t="s">
        <v>40</v>
      </c>
      <c r="D754" s="1">
        <v>44949</v>
      </c>
      <c r="E754">
        <v>26955291</v>
      </c>
      <c r="F754">
        <v>7032</v>
      </c>
      <c r="G754">
        <v>18.100000000000001</v>
      </c>
      <c r="H754">
        <v>50570</v>
      </c>
      <c r="I754">
        <v>218912</v>
      </c>
      <c r="J754">
        <v>15438</v>
      </c>
      <c r="K754">
        <v>25467</v>
      </c>
      <c r="L754">
        <v>1591</v>
      </c>
      <c r="M754">
        <v>584898</v>
      </c>
      <c r="N754">
        <v>487139</v>
      </c>
      <c r="O754">
        <v>6321</v>
      </c>
      <c r="P754">
        <v>1676093</v>
      </c>
      <c r="Q754">
        <v>9.56</v>
      </c>
      <c r="R754">
        <v>2292007</v>
      </c>
      <c r="S754">
        <v>36965668</v>
      </c>
      <c r="T754">
        <v>2477512</v>
      </c>
      <c r="U754">
        <v>6.96</v>
      </c>
      <c r="V754">
        <v>5.19</v>
      </c>
      <c r="W754">
        <v>3329</v>
      </c>
      <c r="X754">
        <v>0.56000000000000005</v>
      </c>
      <c r="Y754">
        <v>88.93</v>
      </c>
    </row>
    <row r="755" spans="1:25" x14ac:dyDescent="0.3">
      <c r="A755" t="s">
        <v>31</v>
      </c>
      <c r="B755" t="s">
        <v>32</v>
      </c>
      <c r="C755" t="s">
        <v>38</v>
      </c>
      <c r="D755" s="1">
        <v>44950</v>
      </c>
      <c r="E755">
        <v>36624898</v>
      </c>
      <c r="F755">
        <v>6386</v>
      </c>
      <c r="G755">
        <v>39.5</v>
      </c>
      <c r="H755">
        <v>51901</v>
      </c>
      <c r="I755">
        <v>773466</v>
      </c>
      <c r="J755">
        <v>23385</v>
      </c>
      <c r="K755">
        <v>6141</v>
      </c>
      <c r="L755">
        <v>30</v>
      </c>
      <c r="M755">
        <v>220101</v>
      </c>
      <c r="N755">
        <v>274635</v>
      </c>
      <c r="O755">
        <v>1954</v>
      </c>
      <c r="P755">
        <v>478044</v>
      </c>
      <c r="Q755">
        <v>12.3</v>
      </c>
      <c r="R755">
        <v>4550642</v>
      </c>
      <c r="S755">
        <v>8902601</v>
      </c>
      <c r="T755">
        <v>20729646</v>
      </c>
      <c r="U755">
        <v>49.64</v>
      </c>
      <c r="V755">
        <v>3.34</v>
      </c>
      <c r="W755">
        <v>4355</v>
      </c>
      <c r="X755">
        <v>3.57</v>
      </c>
      <c r="Y755">
        <v>32.979999999999997</v>
      </c>
    </row>
    <row r="756" spans="1:25" x14ac:dyDescent="0.3">
      <c r="A756" t="s">
        <v>29</v>
      </c>
      <c r="B756" t="s">
        <v>35</v>
      </c>
      <c r="C756" t="s">
        <v>39</v>
      </c>
      <c r="D756" s="1">
        <v>44951</v>
      </c>
      <c r="E756">
        <v>46098220</v>
      </c>
      <c r="F756">
        <v>18112</v>
      </c>
      <c r="G756">
        <v>38.5</v>
      </c>
      <c r="H756">
        <v>61186</v>
      </c>
      <c r="I756">
        <v>236851</v>
      </c>
      <c r="J756">
        <v>44999</v>
      </c>
      <c r="K756">
        <v>46039</v>
      </c>
      <c r="L756">
        <v>1892</v>
      </c>
      <c r="M756">
        <v>733782</v>
      </c>
      <c r="N756">
        <v>4961</v>
      </c>
      <c r="O756">
        <v>279</v>
      </c>
      <c r="P756">
        <v>852740</v>
      </c>
      <c r="Q756">
        <v>19.02</v>
      </c>
      <c r="R756">
        <v>6735714</v>
      </c>
      <c r="S756">
        <v>13570270</v>
      </c>
      <c r="T756">
        <v>19518526</v>
      </c>
      <c r="U756">
        <v>47.27</v>
      </c>
      <c r="V756">
        <v>2.0099999999999998</v>
      </c>
      <c r="W756">
        <v>2610</v>
      </c>
      <c r="X756">
        <v>3.7</v>
      </c>
      <c r="Y756">
        <v>6.21</v>
      </c>
    </row>
    <row r="757" spans="1:25" x14ac:dyDescent="0.3">
      <c r="A757" t="s">
        <v>28</v>
      </c>
      <c r="B757" t="s">
        <v>33</v>
      </c>
      <c r="C757" t="s">
        <v>37</v>
      </c>
      <c r="D757" s="1">
        <v>44952</v>
      </c>
      <c r="E757">
        <v>48676440</v>
      </c>
      <c r="F757">
        <v>17049</v>
      </c>
      <c r="G757">
        <v>31.1</v>
      </c>
      <c r="H757">
        <v>51251</v>
      </c>
      <c r="I757">
        <v>356933</v>
      </c>
      <c r="J757">
        <v>18482</v>
      </c>
      <c r="K757">
        <v>25225</v>
      </c>
      <c r="L757">
        <v>1082</v>
      </c>
      <c r="M757">
        <v>296677</v>
      </c>
      <c r="N757">
        <v>456898</v>
      </c>
      <c r="O757">
        <v>2391</v>
      </c>
      <c r="P757">
        <v>1395689</v>
      </c>
      <c r="Q757">
        <v>0.72</v>
      </c>
      <c r="R757">
        <v>4902021</v>
      </c>
      <c r="S757">
        <v>13184215</v>
      </c>
      <c r="T757">
        <v>5370777</v>
      </c>
      <c r="U757">
        <v>31.07</v>
      </c>
      <c r="V757">
        <v>0.95</v>
      </c>
      <c r="W757">
        <v>3122</v>
      </c>
      <c r="X757">
        <v>1.5</v>
      </c>
      <c r="Y757">
        <v>47.6</v>
      </c>
    </row>
    <row r="758" spans="1:25" x14ac:dyDescent="0.3">
      <c r="A758" t="s">
        <v>29</v>
      </c>
      <c r="B758" t="s">
        <v>34</v>
      </c>
      <c r="C758" t="s">
        <v>37</v>
      </c>
      <c r="D758" s="1">
        <v>44953</v>
      </c>
      <c r="E758">
        <v>46926160</v>
      </c>
      <c r="F758">
        <v>9991</v>
      </c>
      <c r="G758">
        <v>33.700000000000003</v>
      </c>
      <c r="H758">
        <v>66171</v>
      </c>
      <c r="I758">
        <v>621804</v>
      </c>
      <c r="J758">
        <v>32471</v>
      </c>
      <c r="K758">
        <v>12622</v>
      </c>
      <c r="L758">
        <v>1915</v>
      </c>
      <c r="M758">
        <v>832145</v>
      </c>
      <c r="N758">
        <v>262068</v>
      </c>
      <c r="O758">
        <v>9232</v>
      </c>
      <c r="P758">
        <v>1064144</v>
      </c>
      <c r="Q758">
        <v>26.93</v>
      </c>
      <c r="R758">
        <v>7479773</v>
      </c>
      <c r="S758">
        <v>24255718</v>
      </c>
      <c r="T758">
        <v>27669890</v>
      </c>
      <c r="U758">
        <v>87.04</v>
      </c>
      <c r="V758">
        <v>2.36</v>
      </c>
      <c r="W758">
        <v>3876</v>
      </c>
      <c r="X758">
        <v>1.56</v>
      </c>
      <c r="Y758">
        <v>26.98</v>
      </c>
    </row>
    <row r="759" spans="1:25" x14ac:dyDescent="0.3">
      <c r="A759" t="s">
        <v>29</v>
      </c>
      <c r="B759" t="s">
        <v>34</v>
      </c>
      <c r="C759" t="s">
        <v>41</v>
      </c>
      <c r="D759" s="1">
        <v>44954</v>
      </c>
      <c r="E759">
        <v>9679253</v>
      </c>
      <c r="F759">
        <v>12430</v>
      </c>
      <c r="G759">
        <v>31.3</v>
      </c>
      <c r="H759">
        <v>37160</v>
      </c>
      <c r="I759">
        <v>920521</v>
      </c>
      <c r="J759">
        <v>47279</v>
      </c>
      <c r="K759">
        <v>37315</v>
      </c>
      <c r="L759">
        <v>897</v>
      </c>
      <c r="M759">
        <v>261205</v>
      </c>
      <c r="N759">
        <v>183100</v>
      </c>
      <c r="O759">
        <v>6439</v>
      </c>
      <c r="P759">
        <v>1029464</v>
      </c>
      <c r="Q759">
        <v>15.58</v>
      </c>
      <c r="R759">
        <v>12171896</v>
      </c>
      <c r="S759">
        <v>22929736</v>
      </c>
      <c r="T759">
        <v>19644182</v>
      </c>
      <c r="U759">
        <v>17.04</v>
      </c>
      <c r="V759">
        <v>6.03</v>
      </c>
      <c r="W759">
        <v>4526</v>
      </c>
      <c r="X759">
        <v>2.4</v>
      </c>
      <c r="Y759">
        <v>71.52</v>
      </c>
    </row>
    <row r="760" spans="1:25" x14ac:dyDescent="0.3">
      <c r="A760" t="s">
        <v>27</v>
      </c>
      <c r="B760" t="s">
        <v>34</v>
      </c>
      <c r="C760" t="s">
        <v>39</v>
      </c>
      <c r="D760" s="1">
        <v>44955</v>
      </c>
      <c r="E760">
        <v>3787093</v>
      </c>
      <c r="F760">
        <v>19939</v>
      </c>
      <c r="G760">
        <v>18.8</v>
      </c>
      <c r="H760">
        <v>20156</v>
      </c>
      <c r="I760">
        <v>533245</v>
      </c>
      <c r="J760">
        <v>43877</v>
      </c>
      <c r="K760">
        <v>13101</v>
      </c>
      <c r="L760">
        <v>1376</v>
      </c>
      <c r="M760">
        <v>455709</v>
      </c>
      <c r="N760">
        <v>296608</v>
      </c>
      <c r="O760">
        <v>961</v>
      </c>
      <c r="P760">
        <v>1583330</v>
      </c>
      <c r="Q760">
        <v>14</v>
      </c>
      <c r="R760">
        <v>20515134</v>
      </c>
      <c r="S760">
        <v>35599913</v>
      </c>
      <c r="T760">
        <v>11245002</v>
      </c>
      <c r="U760">
        <v>35.25</v>
      </c>
      <c r="V760">
        <v>7.97</v>
      </c>
      <c r="W760">
        <v>2925</v>
      </c>
      <c r="X760">
        <v>0.21</v>
      </c>
      <c r="Y760">
        <v>95.71</v>
      </c>
    </row>
    <row r="761" spans="1:25" x14ac:dyDescent="0.3">
      <c r="A761" t="s">
        <v>27</v>
      </c>
      <c r="B761" t="s">
        <v>32</v>
      </c>
      <c r="C761" t="s">
        <v>41</v>
      </c>
      <c r="D761" s="1">
        <v>44956</v>
      </c>
      <c r="E761">
        <v>1517481</v>
      </c>
      <c r="F761">
        <v>11717</v>
      </c>
      <c r="G761">
        <v>28.7</v>
      </c>
      <c r="H761">
        <v>18929</v>
      </c>
      <c r="I761">
        <v>508750</v>
      </c>
      <c r="J761">
        <v>41212</v>
      </c>
      <c r="K761">
        <v>35113</v>
      </c>
      <c r="L761">
        <v>934</v>
      </c>
      <c r="M761">
        <v>13438</v>
      </c>
      <c r="N761">
        <v>344643</v>
      </c>
      <c r="O761">
        <v>6827</v>
      </c>
      <c r="P761">
        <v>1271705</v>
      </c>
      <c r="Q761">
        <v>25.82</v>
      </c>
      <c r="R761">
        <v>28723678</v>
      </c>
      <c r="S761">
        <v>27812609</v>
      </c>
      <c r="T761">
        <v>1907273</v>
      </c>
      <c r="U761">
        <v>77.42</v>
      </c>
      <c r="V761">
        <v>2.11</v>
      </c>
      <c r="W761">
        <v>2956</v>
      </c>
      <c r="X761">
        <v>3.97</v>
      </c>
      <c r="Y761">
        <v>69.099999999999994</v>
      </c>
    </row>
    <row r="762" spans="1:25" x14ac:dyDescent="0.3">
      <c r="A762" t="s">
        <v>27</v>
      </c>
      <c r="B762" t="s">
        <v>36</v>
      </c>
      <c r="C762" t="s">
        <v>40</v>
      </c>
      <c r="D762" s="1">
        <v>44957</v>
      </c>
      <c r="E762">
        <v>8951115</v>
      </c>
      <c r="F762">
        <v>4579</v>
      </c>
      <c r="G762">
        <v>23.7</v>
      </c>
      <c r="H762">
        <v>67606</v>
      </c>
      <c r="I762">
        <v>108724</v>
      </c>
      <c r="J762">
        <v>48373</v>
      </c>
      <c r="K762">
        <v>37099</v>
      </c>
      <c r="L762">
        <v>444</v>
      </c>
      <c r="M762">
        <v>131342</v>
      </c>
      <c r="N762">
        <v>490351</v>
      </c>
      <c r="O762">
        <v>1217</v>
      </c>
      <c r="P762">
        <v>1631188</v>
      </c>
      <c r="Q762">
        <v>28.59</v>
      </c>
      <c r="R762">
        <v>24174207</v>
      </c>
      <c r="S762">
        <v>30913731</v>
      </c>
      <c r="T762">
        <v>14691235</v>
      </c>
      <c r="U762">
        <v>3.04</v>
      </c>
      <c r="V762">
        <v>1.53</v>
      </c>
      <c r="W762">
        <v>4539</v>
      </c>
      <c r="X762">
        <v>1.65</v>
      </c>
      <c r="Y762">
        <v>88.69</v>
      </c>
    </row>
    <row r="763" spans="1:25" x14ac:dyDescent="0.3">
      <c r="A763" t="s">
        <v>30</v>
      </c>
      <c r="B763" t="s">
        <v>35</v>
      </c>
      <c r="C763" t="s">
        <v>39</v>
      </c>
      <c r="D763" s="1">
        <v>44958</v>
      </c>
      <c r="E763">
        <v>26771534</v>
      </c>
      <c r="F763">
        <v>17569</v>
      </c>
      <c r="G763">
        <v>21.1</v>
      </c>
      <c r="H763">
        <v>63559</v>
      </c>
      <c r="I763">
        <v>399008</v>
      </c>
      <c r="J763">
        <v>13026</v>
      </c>
      <c r="K763">
        <v>29769</v>
      </c>
      <c r="L763">
        <v>1258</v>
      </c>
      <c r="M763">
        <v>264918</v>
      </c>
      <c r="N763">
        <v>249172</v>
      </c>
      <c r="O763">
        <v>8566</v>
      </c>
      <c r="P763">
        <v>889640</v>
      </c>
      <c r="Q763">
        <v>12.7</v>
      </c>
      <c r="R763">
        <v>2752878</v>
      </c>
      <c r="S763">
        <v>9118303</v>
      </c>
      <c r="T763">
        <v>12007035</v>
      </c>
      <c r="U763">
        <v>67.3</v>
      </c>
      <c r="V763">
        <v>7.62</v>
      </c>
      <c r="W763">
        <v>4541</v>
      </c>
      <c r="X763">
        <v>4.28</v>
      </c>
      <c r="Y763">
        <v>45.3</v>
      </c>
    </row>
    <row r="764" spans="1:25" x14ac:dyDescent="0.3">
      <c r="A764" t="s">
        <v>28</v>
      </c>
      <c r="B764" t="s">
        <v>33</v>
      </c>
      <c r="C764" t="s">
        <v>40</v>
      </c>
      <c r="D764" s="1">
        <v>44959</v>
      </c>
      <c r="E764">
        <v>32090452</v>
      </c>
      <c r="F764">
        <v>12242</v>
      </c>
      <c r="G764">
        <v>48.6</v>
      </c>
      <c r="H764">
        <v>55205</v>
      </c>
      <c r="I764">
        <v>974486</v>
      </c>
      <c r="J764">
        <v>42089</v>
      </c>
      <c r="K764">
        <v>46032</v>
      </c>
      <c r="L764">
        <v>1130</v>
      </c>
      <c r="M764">
        <v>871322</v>
      </c>
      <c r="N764">
        <v>224502</v>
      </c>
      <c r="O764">
        <v>6007</v>
      </c>
      <c r="P764">
        <v>147539</v>
      </c>
      <c r="Q764">
        <v>5.17</v>
      </c>
      <c r="R764">
        <v>24689951</v>
      </c>
      <c r="S764">
        <v>32433980</v>
      </c>
      <c r="T764">
        <v>13031293</v>
      </c>
      <c r="U764">
        <v>81.64</v>
      </c>
      <c r="V764">
        <v>3.4</v>
      </c>
      <c r="W764">
        <v>594</v>
      </c>
      <c r="X764">
        <v>4.03</v>
      </c>
      <c r="Y764">
        <v>77.16</v>
      </c>
    </row>
    <row r="765" spans="1:25" x14ac:dyDescent="0.3">
      <c r="A765" t="s">
        <v>27</v>
      </c>
      <c r="B765" t="s">
        <v>33</v>
      </c>
      <c r="C765" t="s">
        <v>41</v>
      </c>
      <c r="D765" s="1">
        <v>44960</v>
      </c>
      <c r="E765">
        <v>2838377</v>
      </c>
      <c r="F765">
        <v>8616</v>
      </c>
      <c r="G765">
        <v>37.200000000000003</v>
      </c>
      <c r="H765">
        <v>69475</v>
      </c>
      <c r="I765">
        <v>276381</v>
      </c>
      <c r="J765">
        <v>19648</v>
      </c>
      <c r="K765">
        <v>569</v>
      </c>
      <c r="L765">
        <v>1214</v>
      </c>
      <c r="M765">
        <v>425531</v>
      </c>
      <c r="N765">
        <v>43023</v>
      </c>
      <c r="O765">
        <v>4130</v>
      </c>
      <c r="P765">
        <v>1016059</v>
      </c>
      <c r="Q765">
        <v>24.47</v>
      </c>
      <c r="R765">
        <v>4319020</v>
      </c>
      <c r="S765">
        <v>22174221</v>
      </c>
      <c r="T765">
        <v>10535708</v>
      </c>
      <c r="U765">
        <v>93.23</v>
      </c>
      <c r="V765">
        <v>9.5399999999999991</v>
      </c>
      <c r="W765">
        <v>3147</v>
      </c>
      <c r="X765">
        <v>3.34</v>
      </c>
      <c r="Y765">
        <v>84.3</v>
      </c>
    </row>
    <row r="766" spans="1:25" x14ac:dyDescent="0.3">
      <c r="A766" t="s">
        <v>31</v>
      </c>
      <c r="B766" t="s">
        <v>32</v>
      </c>
      <c r="C766" t="s">
        <v>39</v>
      </c>
      <c r="D766" s="1">
        <v>44961</v>
      </c>
      <c r="E766">
        <v>32771884</v>
      </c>
      <c r="F766">
        <v>7276</v>
      </c>
      <c r="G766">
        <v>41.3</v>
      </c>
      <c r="H766">
        <v>65341</v>
      </c>
      <c r="I766">
        <v>839018</v>
      </c>
      <c r="J766">
        <v>5435</v>
      </c>
      <c r="K766">
        <v>723</v>
      </c>
      <c r="L766">
        <v>529</v>
      </c>
      <c r="M766">
        <v>469734</v>
      </c>
      <c r="N766">
        <v>401235</v>
      </c>
      <c r="O766">
        <v>1392</v>
      </c>
      <c r="P766">
        <v>1649819</v>
      </c>
      <c r="Q766">
        <v>12.1</v>
      </c>
      <c r="R766">
        <v>32889209</v>
      </c>
      <c r="S766">
        <v>7072368</v>
      </c>
      <c r="T766">
        <v>11044773</v>
      </c>
      <c r="U766">
        <v>87.63</v>
      </c>
      <c r="V766">
        <v>7.29</v>
      </c>
      <c r="W766">
        <v>3675</v>
      </c>
      <c r="X766">
        <v>1.69</v>
      </c>
      <c r="Y766">
        <v>71.09</v>
      </c>
    </row>
    <row r="767" spans="1:25" x14ac:dyDescent="0.3">
      <c r="A767" t="s">
        <v>30</v>
      </c>
      <c r="B767" t="s">
        <v>34</v>
      </c>
      <c r="C767" t="s">
        <v>41</v>
      </c>
      <c r="D767" s="1">
        <v>44962</v>
      </c>
      <c r="E767">
        <v>18083780</v>
      </c>
      <c r="F767">
        <v>5212</v>
      </c>
      <c r="G767">
        <v>28.1</v>
      </c>
      <c r="H767">
        <v>43863</v>
      </c>
      <c r="I767">
        <v>806684</v>
      </c>
      <c r="J767">
        <v>8493</v>
      </c>
      <c r="K767">
        <v>37371</v>
      </c>
      <c r="L767">
        <v>1936</v>
      </c>
      <c r="M767">
        <v>150533</v>
      </c>
      <c r="N767">
        <v>187068</v>
      </c>
      <c r="O767">
        <v>2076</v>
      </c>
      <c r="P767">
        <v>148748</v>
      </c>
      <c r="Q767">
        <v>28.07</v>
      </c>
      <c r="R767">
        <v>4168142</v>
      </c>
      <c r="S767">
        <v>28280908</v>
      </c>
      <c r="T767">
        <v>25447418</v>
      </c>
      <c r="U767">
        <v>31.94</v>
      </c>
      <c r="V767">
        <v>3.6</v>
      </c>
      <c r="W767">
        <v>3555</v>
      </c>
      <c r="X767">
        <v>2.63</v>
      </c>
      <c r="Y767">
        <v>50.78</v>
      </c>
    </row>
    <row r="768" spans="1:25" x14ac:dyDescent="0.3">
      <c r="A768" t="s">
        <v>26</v>
      </c>
      <c r="B768" t="s">
        <v>32</v>
      </c>
      <c r="C768" t="s">
        <v>39</v>
      </c>
      <c r="D768" s="1">
        <v>44963</v>
      </c>
      <c r="E768">
        <v>21196165</v>
      </c>
      <c r="F768">
        <v>16640</v>
      </c>
      <c r="G768">
        <v>30.6</v>
      </c>
      <c r="H768">
        <v>66439</v>
      </c>
      <c r="I768">
        <v>404923</v>
      </c>
      <c r="J768">
        <v>6691</v>
      </c>
      <c r="K768">
        <v>15194</v>
      </c>
      <c r="L768">
        <v>737</v>
      </c>
      <c r="M768">
        <v>20544</v>
      </c>
      <c r="N768">
        <v>348062</v>
      </c>
      <c r="O768">
        <v>8966</v>
      </c>
      <c r="P768">
        <v>1144367</v>
      </c>
      <c r="Q768">
        <v>28.5</v>
      </c>
      <c r="R768">
        <v>38630993</v>
      </c>
      <c r="S768">
        <v>20576254</v>
      </c>
      <c r="T768">
        <v>5649396</v>
      </c>
      <c r="U768">
        <v>58.64</v>
      </c>
      <c r="V768">
        <v>3.25</v>
      </c>
      <c r="W768">
        <v>1134</v>
      </c>
      <c r="X768">
        <v>2.2799999999999998</v>
      </c>
      <c r="Y768">
        <v>62.59</v>
      </c>
    </row>
    <row r="769" spans="1:25" x14ac:dyDescent="0.3">
      <c r="A769" t="s">
        <v>31</v>
      </c>
      <c r="B769" t="s">
        <v>36</v>
      </c>
      <c r="C769" t="s">
        <v>41</v>
      </c>
      <c r="D769" s="1">
        <v>44964</v>
      </c>
      <c r="E769">
        <v>40101943</v>
      </c>
      <c r="F769">
        <v>1369</v>
      </c>
      <c r="G769">
        <v>25.6</v>
      </c>
      <c r="H769">
        <v>8194</v>
      </c>
      <c r="I769">
        <v>690566</v>
      </c>
      <c r="J769">
        <v>2763</v>
      </c>
      <c r="K769">
        <v>15271</v>
      </c>
      <c r="L769">
        <v>1702</v>
      </c>
      <c r="M769">
        <v>99872</v>
      </c>
      <c r="N769">
        <v>440712</v>
      </c>
      <c r="O769">
        <v>4316</v>
      </c>
      <c r="P769">
        <v>687874</v>
      </c>
      <c r="Q769">
        <v>3.44</v>
      </c>
      <c r="R769">
        <v>45645836</v>
      </c>
      <c r="S769">
        <v>30636977</v>
      </c>
      <c r="T769">
        <v>9300940</v>
      </c>
      <c r="U769">
        <v>7.73</v>
      </c>
      <c r="V769">
        <v>5.48</v>
      </c>
      <c r="W769">
        <v>602</v>
      </c>
      <c r="X769">
        <v>1.76</v>
      </c>
      <c r="Y769">
        <v>70.05</v>
      </c>
    </row>
    <row r="770" spans="1:25" x14ac:dyDescent="0.3">
      <c r="A770" t="s">
        <v>25</v>
      </c>
      <c r="B770" t="s">
        <v>36</v>
      </c>
      <c r="C770" t="s">
        <v>37</v>
      </c>
      <c r="D770" s="1">
        <v>44965</v>
      </c>
      <c r="E770">
        <v>44052513</v>
      </c>
      <c r="F770">
        <v>1191</v>
      </c>
      <c r="G770">
        <v>21.1</v>
      </c>
      <c r="H770">
        <v>67214</v>
      </c>
      <c r="I770">
        <v>528831</v>
      </c>
      <c r="J770">
        <v>20389</v>
      </c>
      <c r="K770">
        <v>20382</v>
      </c>
      <c r="L770">
        <v>1606</v>
      </c>
      <c r="M770">
        <v>277350</v>
      </c>
      <c r="N770">
        <v>166012</v>
      </c>
      <c r="O770">
        <v>6196</v>
      </c>
      <c r="P770">
        <v>896150</v>
      </c>
      <c r="Q770">
        <v>28.7</v>
      </c>
      <c r="R770">
        <v>4645399</v>
      </c>
      <c r="S770">
        <v>4071889</v>
      </c>
      <c r="T770">
        <v>2181752</v>
      </c>
      <c r="U770">
        <v>25.79</v>
      </c>
      <c r="V770">
        <v>1.25</v>
      </c>
      <c r="W770">
        <v>1203</v>
      </c>
      <c r="X770">
        <v>4.26</v>
      </c>
      <c r="Y770">
        <v>25.31</v>
      </c>
    </row>
    <row r="771" spans="1:25" x14ac:dyDescent="0.3">
      <c r="A771" t="s">
        <v>25</v>
      </c>
      <c r="B771" t="s">
        <v>35</v>
      </c>
      <c r="C771" t="s">
        <v>41</v>
      </c>
      <c r="D771" s="1">
        <v>44966</v>
      </c>
      <c r="E771">
        <v>16402677</v>
      </c>
      <c r="F771">
        <v>4677</v>
      </c>
      <c r="G771">
        <v>23.7</v>
      </c>
      <c r="H771">
        <v>30777</v>
      </c>
      <c r="I771">
        <v>700495</v>
      </c>
      <c r="J771">
        <v>31498</v>
      </c>
      <c r="K771">
        <v>32150</v>
      </c>
      <c r="L771">
        <v>873</v>
      </c>
      <c r="M771">
        <v>137546</v>
      </c>
      <c r="N771">
        <v>173427</v>
      </c>
      <c r="O771">
        <v>4589</v>
      </c>
      <c r="P771">
        <v>547938</v>
      </c>
      <c r="Q771">
        <v>11.05</v>
      </c>
      <c r="R771">
        <v>3099815</v>
      </c>
      <c r="S771">
        <v>25318847</v>
      </c>
      <c r="T771">
        <v>16912729</v>
      </c>
      <c r="U771">
        <v>9.42</v>
      </c>
      <c r="V771">
        <v>1.62</v>
      </c>
      <c r="W771">
        <v>3988</v>
      </c>
      <c r="X771">
        <v>2.4700000000000002</v>
      </c>
      <c r="Y771">
        <v>80.959999999999994</v>
      </c>
    </row>
    <row r="772" spans="1:25" x14ac:dyDescent="0.3">
      <c r="A772" t="s">
        <v>31</v>
      </c>
      <c r="B772" t="s">
        <v>35</v>
      </c>
      <c r="C772" t="s">
        <v>37</v>
      </c>
      <c r="D772" s="1">
        <v>44967</v>
      </c>
      <c r="E772">
        <v>27377776</v>
      </c>
      <c r="F772">
        <v>14551</v>
      </c>
      <c r="G772">
        <v>43.5</v>
      </c>
      <c r="H772">
        <v>27183</v>
      </c>
      <c r="I772">
        <v>248541</v>
      </c>
      <c r="J772">
        <v>36009</v>
      </c>
      <c r="K772">
        <v>33034</v>
      </c>
      <c r="L772">
        <v>565</v>
      </c>
      <c r="M772">
        <v>339108</v>
      </c>
      <c r="N772">
        <v>333404</v>
      </c>
      <c r="O772">
        <v>8142</v>
      </c>
      <c r="P772">
        <v>351434</v>
      </c>
      <c r="Q772">
        <v>19.39</v>
      </c>
      <c r="R772">
        <v>7899405</v>
      </c>
      <c r="S772">
        <v>20735897</v>
      </c>
      <c r="T772">
        <v>8499923</v>
      </c>
      <c r="U772">
        <v>31.52</v>
      </c>
      <c r="V772">
        <v>2.17</v>
      </c>
      <c r="W772">
        <v>2295</v>
      </c>
      <c r="X772">
        <v>4.18</v>
      </c>
      <c r="Y772">
        <v>95.03</v>
      </c>
    </row>
    <row r="773" spans="1:25" x14ac:dyDescent="0.3">
      <c r="A773" t="s">
        <v>27</v>
      </c>
      <c r="B773" t="s">
        <v>36</v>
      </c>
      <c r="C773" t="s">
        <v>41</v>
      </c>
      <c r="D773" s="1">
        <v>44968</v>
      </c>
      <c r="E773">
        <v>49230509</v>
      </c>
      <c r="F773">
        <v>2740</v>
      </c>
      <c r="G773">
        <v>39.700000000000003</v>
      </c>
      <c r="H773">
        <v>28445</v>
      </c>
      <c r="I773">
        <v>629935</v>
      </c>
      <c r="J773">
        <v>35825</v>
      </c>
      <c r="K773">
        <v>47352</v>
      </c>
      <c r="L773">
        <v>1268</v>
      </c>
      <c r="M773">
        <v>546001</v>
      </c>
      <c r="N773">
        <v>128265</v>
      </c>
      <c r="O773">
        <v>6260</v>
      </c>
      <c r="P773">
        <v>1127277</v>
      </c>
      <c r="Q773">
        <v>1.04</v>
      </c>
      <c r="R773">
        <v>47103045</v>
      </c>
      <c r="S773">
        <v>17093791</v>
      </c>
      <c r="T773">
        <v>4082564</v>
      </c>
      <c r="U773">
        <v>87.52</v>
      </c>
      <c r="V773">
        <v>7.86</v>
      </c>
      <c r="W773">
        <v>1736</v>
      </c>
      <c r="X773">
        <v>0.62</v>
      </c>
      <c r="Y773">
        <v>46.52</v>
      </c>
    </row>
    <row r="774" spans="1:25" x14ac:dyDescent="0.3">
      <c r="A774" t="s">
        <v>26</v>
      </c>
      <c r="B774" t="s">
        <v>36</v>
      </c>
      <c r="C774" t="s">
        <v>39</v>
      </c>
      <c r="D774" s="1">
        <v>44969</v>
      </c>
      <c r="E774">
        <v>32251305</v>
      </c>
      <c r="F774">
        <v>7373</v>
      </c>
      <c r="G774">
        <v>35.5</v>
      </c>
      <c r="H774">
        <v>68038</v>
      </c>
      <c r="I774">
        <v>560319</v>
      </c>
      <c r="J774">
        <v>16934</v>
      </c>
      <c r="K774">
        <v>32554</v>
      </c>
      <c r="L774">
        <v>1885</v>
      </c>
      <c r="M774">
        <v>526738</v>
      </c>
      <c r="N774">
        <v>230414</v>
      </c>
      <c r="O774">
        <v>8471</v>
      </c>
      <c r="P774">
        <v>1846691</v>
      </c>
      <c r="Q774">
        <v>26.67</v>
      </c>
      <c r="R774">
        <v>31726909</v>
      </c>
      <c r="S774">
        <v>30157291</v>
      </c>
      <c r="T774">
        <v>4738707</v>
      </c>
      <c r="U774">
        <v>34.72</v>
      </c>
      <c r="V774">
        <v>5.38</v>
      </c>
      <c r="W774">
        <v>743</v>
      </c>
      <c r="X774">
        <v>0.79</v>
      </c>
      <c r="Y774">
        <v>70.11</v>
      </c>
    </row>
    <row r="775" spans="1:25" x14ac:dyDescent="0.3">
      <c r="A775" t="s">
        <v>26</v>
      </c>
      <c r="B775" t="s">
        <v>36</v>
      </c>
      <c r="C775" t="s">
        <v>39</v>
      </c>
      <c r="D775" s="1">
        <v>44970</v>
      </c>
      <c r="E775">
        <v>1237954</v>
      </c>
      <c r="F775">
        <v>3305</v>
      </c>
      <c r="G775">
        <v>33.200000000000003</v>
      </c>
      <c r="H775">
        <v>17198</v>
      </c>
      <c r="I775">
        <v>175001</v>
      </c>
      <c r="J775">
        <v>5574</v>
      </c>
      <c r="K775">
        <v>47</v>
      </c>
      <c r="L775">
        <v>75</v>
      </c>
      <c r="M775">
        <v>254543</v>
      </c>
      <c r="N775">
        <v>401492</v>
      </c>
      <c r="O775">
        <v>7897</v>
      </c>
      <c r="P775">
        <v>230164</v>
      </c>
      <c r="Q775">
        <v>19.25</v>
      </c>
      <c r="R775">
        <v>34914679</v>
      </c>
      <c r="S775">
        <v>34228536</v>
      </c>
      <c r="T775">
        <v>12158029</v>
      </c>
      <c r="U775">
        <v>56.19</v>
      </c>
      <c r="V775">
        <v>0.6</v>
      </c>
      <c r="W775">
        <v>3840</v>
      </c>
      <c r="X775">
        <v>4.8899999999999997</v>
      </c>
      <c r="Y775">
        <v>73.7</v>
      </c>
    </row>
    <row r="776" spans="1:25" x14ac:dyDescent="0.3">
      <c r="A776" t="s">
        <v>30</v>
      </c>
      <c r="B776" t="s">
        <v>32</v>
      </c>
      <c r="C776" t="s">
        <v>39</v>
      </c>
      <c r="D776" s="1">
        <v>44971</v>
      </c>
      <c r="E776">
        <v>36962488</v>
      </c>
      <c r="F776">
        <v>5263</v>
      </c>
      <c r="G776">
        <v>47.5</v>
      </c>
      <c r="H776">
        <v>22411</v>
      </c>
      <c r="I776">
        <v>328891</v>
      </c>
      <c r="J776">
        <v>38179</v>
      </c>
      <c r="K776">
        <v>43042</v>
      </c>
      <c r="L776">
        <v>546</v>
      </c>
      <c r="M776">
        <v>740873</v>
      </c>
      <c r="N776">
        <v>295773</v>
      </c>
      <c r="O776">
        <v>4841</v>
      </c>
      <c r="P776">
        <v>1502611</v>
      </c>
      <c r="Q776">
        <v>19.309999999999999</v>
      </c>
      <c r="R776">
        <v>6224984</v>
      </c>
      <c r="S776">
        <v>3470966</v>
      </c>
      <c r="T776">
        <v>22631788</v>
      </c>
      <c r="U776">
        <v>43.34</v>
      </c>
      <c r="V776">
        <v>6.9</v>
      </c>
      <c r="W776">
        <v>547</v>
      </c>
      <c r="X776">
        <v>2.98</v>
      </c>
      <c r="Y776">
        <v>66.22</v>
      </c>
    </row>
    <row r="777" spans="1:25" x14ac:dyDescent="0.3">
      <c r="A777" t="s">
        <v>26</v>
      </c>
      <c r="B777" t="s">
        <v>36</v>
      </c>
      <c r="C777" t="s">
        <v>38</v>
      </c>
      <c r="D777" s="1">
        <v>44972</v>
      </c>
      <c r="E777">
        <v>8340130</v>
      </c>
      <c r="F777">
        <v>4158</v>
      </c>
      <c r="G777">
        <v>20.3</v>
      </c>
      <c r="H777">
        <v>51577</v>
      </c>
      <c r="I777">
        <v>452067</v>
      </c>
      <c r="J777">
        <v>1587</v>
      </c>
      <c r="K777">
        <v>12707</v>
      </c>
      <c r="L777">
        <v>266</v>
      </c>
      <c r="M777">
        <v>797343</v>
      </c>
      <c r="N777">
        <v>449722</v>
      </c>
      <c r="O777">
        <v>7161</v>
      </c>
      <c r="P777">
        <v>606266</v>
      </c>
      <c r="Q777">
        <v>27.07</v>
      </c>
      <c r="R777">
        <v>18736828</v>
      </c>
      <c r="S777">
        <v>16533495</v>
      </c>
      <c r="T777">
        <v>16163853</v>
      </c>
      <c r="U777">
        <v>45.89</v>
      </c>
      <c r="V777">
        <v>4.53</v>
      </c>
      <c r="W777">
        <v>2145</v>
      </c>
      <c r="X777">
        <v>2.6</v>
      </c>
      <c r="Y777">
        <v>54.71</v>
      </c>
    </row>
    <row r="778" spans="1:25" x14ac:dyDescent="0.3">
      <c r="A778" t="s">
        <v>25</v>
      </c>
      <c r="B778" t="s">
        <v>33</v>
      </c>
      <c r="C778" t="s">
        <v>40</v>
      </c>
      <c r="D778" s="1">
        <v>44973</v>
      </c>
      <c r="E778">
        <v>9595781</v>
      </c>
      <c r="F778">
        <v>19454</v>
      </c>
      <c r="G778">
        <v>27</v>
      </c>
      <c r="H778">
        <v>16867</v>
      </c>
      <c r="I778">
        <v>318455</v>
      </c>
      <c r="J778">
        <v>42782</v>
      </c>
      <c r="K778">
        <v>41430</v>
      </c>
      <c r="L778">
        <v>316</v>
      </c>
      <c r="M778">
        <v>325388</v>
      </c>
      <c r="N778">
        <v>144113</v>
      </c>
      <c r="O778">
        <v>9666</v>
      </c>
      <c r="P778">
        <v>1578724</v>
      </c>
      <c r="Q778">
        <v>15.25</v>
      </c>
      <c r="R778">
        <v>18596289</v>
      </c>
      <c r="S778">
        <v>8275104</v>
      </c>
      <c r="T778">
        <v>3887239</v>
      </c>
      <c r="U778">
        <v>96.96</v>
      </c>
      <c r="V778">
        <v>5.35</v>
      </c>
      <c r="W778">
        <v>662</v>
      </c>
      <c r="X778">
        <v>2.66</v>
      </c>
      <c r="Y778">
        <v>88.16</v>
      </c>
    </row>
    <row r="779" spans="1:25" x14ac:dyDescent="0.3">
      <c r="A779" t="s">
        <v>28</v>
      </c>
      <c r="B779" t="s">
        <v>34</v>
      </c>
      <c r="C779" t="s">
        <v>39</v>
      </c>
      <c r="D779" s="1">
        <v>44974</v>
      </c>
      <c r="E779">
        <v>6434261</v>
      </c>
      <c r="F779">
        <v>18291</v>
      </c>
      <c r="G779">
        <v>29.2</v>
      </c>
      <c r="H779">
        <v>63501</v>
      </c>
      <c r="I779">
        <v>506329</v>
      </c>
      <c r="J779">
        <v>38688</v>
      </c>
      <c r="K779">
        <v>48708</v>
      </c>
      <c r="L779">
        <v>1835</v>
      </c>
      <c r="M779">
        <v>673631</v>
      </c>
      <c r="N779">
        <v>1769</v>
      </c>
      <c r="O779">
        <v>1059</v>
      </c>
      <c r="P779">
        <v>660089</v>
      </c>
      <c r="Q779">
        <v>12.32</v>
      </c>
      <c r="R779">
        <v>46087711</v>
      </c>
      <c r="S779">
        <v>18790707</v>
      </c>
      <c r="T779">
        <v>17446191</v>
      </c>
      <c r="U779">
        <v>29.62</v>
      </c>
      <c r="V779">
        <v>2.5299999999999998</v>
      </c>
      <c r="W779">
        <v>4017</v>
      </c>
      <c r="X779">
        <v>1.1499999999999999</v>
      </c>
      <c r="Y779">
        <v>44.89</v>
      </c>
    </row>
    <row r="780" spans="1:25" x14ac:dyDescent="0.3">
      <c r="A780" t="s">
        <v>27</v>
      </c>
      <c r="B780" t="s">
        <v>36</v>
      </c>
      <c r="C780" t="s">
        <v>37</v>
      </c>
      <c r="D780" s="1">
        <v>44975</v>
      </c>
      <c r="E780">
        <v>5010579</v>
      </c>
      <c r="F780">
        <v>19223</v>
      </c>
      <c r="G780">
        <v>43</v>
      </c>
      <c r="H780">
        <v>15266</v>
      </c>
      <c r="I780">
        <v>761691</v>
      </c>
      <c r="J780">
        <v>11688</v>
      </c>
      <c r="K780">
        <v>31717</v>
      </c>
      <c r="L780">
        <v>1144</v>
      </c>
      <c r="M780">
        <v>463526</v>
      </c>
      <c r="N780">
        <v>498748</v>
      </c>
      <c r="O780">
        <v>1922</v>
      </c>
      <c r="P780">
        <v>556639</v>
      </c>
      <c r="Q780">
        <v>25.98</v>
      </c>
      <c r="R780">
        <v>4131980</v>
      </c>
      <c r="S780">
        <v>26291345</v>
      </c>
      <c r="T780">
        <v>27933068</v>
      </c>
      <c r="U780">
        <v>62.73</v>
      </c>
      <c r="V780">
        <v>5.74</v>
      </c>
      <c r="W780">
        <v>425</v>
      </c>
      <c r="X780">
        <v>3.62</v>
      </c>
      <c r="Y780">
        <v>6.11</v>
      </c>
    </row>
    <row r="781" spans="1:25" x14ac:dyDescent="0.3">
      <c r="A781" t="s">
        <v>26</v>
      </c>
      <c r="B781" t="s">
        <v>34</v>
      </c>
      <c r="C781" t="s">
        <v>39</v>
      </c>
      <c r="D781" s="1">
        <v>44976</v>
      </c>
      <c r="E781">
        <v>43122487</v>
      </c>
      <c r="F781">
        <v>9852</v>
      </c>
      <c r="G781">
        <v>49.8</v>
      </c>
      <c r="H781">
        <v>40422</v>
      </c>
      <c r="I781">
        <v>66867</v>
      </c>
      <c r="J781">
        <v>4409</v>
      </c>
      <c r="K781">
        <v>26026</v>
      </c>
      <c r="L781">
        <v>1859</v>
      </c>
      <c r="M781">
        <v>821985</v>
      </c>
      <c r="N781">
        <v>216954</v>
      </c>
      <c r="O781">
        <v>6101</v>
      </c>
      <c r="P781">
        <v>1555496</v>
      </c>
      <c r="Q781">
        <v>22.27</v>
      </c>
      <c r="R781">
        <v>27845792</v>
      </c>
      <c r="S781">
        <v>5111179</v>
      </c>
      <c r="T781">
        <v>26108695</v>
      </c>
      <c r="U781">
        <v>42.01</v>
      </c>
      <c r="V781">
        <v>9.8000000000000007</v>
      </c>
      <c r="W781">
        <v>855</v>
      </c>
      <c r="X781">
        <v>0.52</v>
      </c>
      <c r="Y781">
        <v>84.46</v>
      </c>
    </row>
    <row r="782" spans="1:25" x14ac:dyDescent="0.3">
      <c r="A782" t="s">
        <v>30</v>
      </c>
      <c r="B782" t="s">
        <v>32</v>
      </c>
      <c r="C782" t="s">
        <v>38</v>
      </c>
      <c r="D782" s="1">
        <v>44977</v>
      </c>
      <c r="E782">
        <v>26727228</v>
      </c>
      <c r="F782">
        <v>11463</v>
      </c>
      <c r="G782">
        <v>25.7</v>
      </c>
      <c r="H782">
        <v>36208</v>
      </c>
      <c r="I782">
        <v>89780</v>
      </c>
      <c r="J782">
        <v>5783</v>
      </c>
      <c r="K782">
        <v>34610</v>
      </c>
      <c r="L782">
        <v>24</v>
      </c>
      <c r="M782">
        <v>249466</v>
      </c>
      <c r="N782">
        <v>379617</v>
      </c>
      <c r="O782">
        <v>4592</v>
      </c>
      <c r="P782">
        <v>1374464</v>
      </c>
      <c r="Q782">
        <v>28.47</v>
      </c>
      <c r="R782">
        <v>34576415</v>
      </c>
      <c r="S782">
        <v>6912690</v>
      </c>
      <c r="T782">
        <v>10072142</v>
      </c>
      <c r="U782">
        <v>6.11</v>
      </c>
      <c r="V782">
        <v>1.2</v>
      </c>
      <c r="W782">
        <v>970</v>
      </c>
      <c r="X782">
        <v>2.91</v>
      </c>
      <c r="Y782">
        <v>67.400000000000006</v>
      </c>
    </row>
    <row r="783" spans="1:25" x14ac:dyDescent="0.3">
      <c r="A783" t="s">
        <v>25</v>
      </c>
      <c r="B783" t="s">
        <v>34</v>
      </c>
      <c r="C783" t="s">
        <v>37</v>
      </c>
      <c r="D783" s="1">
        <v>44978</v>
      </c>
      <c r="E783">
        <v>47616458</v>
      </c>
      <c r="F783">
        <v>15045</v>
      </c>
      <c r="G783">
        <v>46</v>
      </c>
      <c r="H783">
        <v>32213</v>
      </c>
      <c r="I783">
        <v>58196</v>
      </c>
      <c r="J783">
        <v>33480</v>
      </c>
      <c r="K783">
        <v>48295</v>
      </c>
      <c r="L783">
        <v>1455</v>
      </c>
      <c r="M783">
        <v>445792</v>
      </c>
      <c r="N783">
        <v>307103</v>
      </c>
      <c r="O783">
        <v>6349</v>
      </c>
      <c r="P783">
        <v>680706</v>
      </c>
      <c r="Q783">
        <v>28.2</v>
      </c>
      <c r="R783">
        <v>18470711</v>
      </c>
      <c r="S783">
        <v>10057816</v>
      </c>
      <c r="T783">
        <v>10528498</v>
      </c>
      <c r="U783">
        <v>48.93</v>
      </c>
      <c r="V783">
        <v>3.2</v>
      </c>
      <c r="W783">
        <v>3654</v>
      </c>
      <c r="X783">
        <v>2.9</v>
      </c>
      <c r="Y783">
        <v>84.93</v>
      </c>
    </row>
    <row r="784" spans="1:25" x14ac:dyDescent="0.3">
      <c r="A784" t="s">
        <v>28</v>
      </c>
      <c r="B784" t="s">
        <v>32</v>
      </c>
      <c r="C784" t="s">
        <v>38</v>
      </c>
      <c r="D784" s="1">
        <v>44979</v>
      </c>
      <c r="E784">
        <v>11868856</v>
      </c>
      <c r="F784">
        <v>12633</v>
      </c>
      <c r="G784">
        <v>44.6</v>
      </c>
      <c r="H784">
        <v>8367</v>
      </c>
      <c r="I784">
        <v>598993</v>
      </c>
      <c r="J784">
        <v>26751</v>
      </c>
      <c r="K784">
        <v>23994</v>
      </c>
      <c r="L784">
        <v>159</v>
      </c>
      <c r="M784">
        <v>138617</v>
      </c>
      <c r="N784">
        <v>55886</v>
      </c>
      <c r="O784">
        <v>2473</v>
      </c>
      <c r="P784">
        <v>907630</v>
      </c>
      <c r="Q784">
        <v>11.47</v>
      </c>
      <c r="R784">
        <v>22310039</v>
      </c>
      <c r="S784">
        <v>33693676</v>
      </c>
      <c r="T784">
        <v>22786752</v>
      </c>
      <c r="U784">
        <v>81.33</v>
      </c>
      <c r="V784">
        <v>2.81</v>
      </c>
      <c r="W784">
        <v>1493</v>
      </c>
      <c r="X784">
        <v>4.58</v>
      </c>
      <c r="Y784">
        <v>13.85</v>
      </c>
    </row>
    <row r="785" spans="1:25" x14ac:dyDescent="0.3">
      <c r="A785" t="s">
        <v>29</v>
      </c>
      <c r="B785" t="s">
        <v>33</v>
      </c>
      <c r="C785" t="s">
        <v>37</v>
      </c>
      <c r="D785" s="1">
        <v>44980</v>
      </c>
      <c r="E785">
        <v>45057027</v>
      </c>
      <c r="F785">
        <v>5071</v>
      </c>
      <c r="G785">
        <v>25.2</v>
      </c>
      <c r="H785">
        <v>36362</v>
      </c>
      <c r="I785">
        <v>845326</v>
      </c>
      <c r="J785">
        <v>38174</v>
      </c>
      <c r="K785">
        <v>5177</v>
      </c>
      <c r="L785">
        <v>595</v>
      </c>
      <c r="M785">
        <v>320267</v>
      </c>
      <c r="N785">
        <v>182255</v>
      </c>
      <c r="O785">
        <v>8108</v>
      </c>
      <c r="P785">
        <v>861587</v>
      </c>
      <c r="Q785">
        <v>13.41</v>
      </c>
      <c r="R785">
        <v>35381082</v>
      </c>
      <c r="S785">
        <v>22571742</v>
      </c>
      <c r="T785">
        <v>132053</v>
      </c>
      <c r="U785">
        <v>9.8800000000000008</v>
      </c>
      <c r="V785">
        <v>2.86</v>
      </c>
      <c r="W785">
        <v>1595</v>
      </c>
      <c r="X785">
        <v>2.68</v>
      </c>
      <c r="Y785">
        <v>3.08</v>
      </c>
    </row>
    <row r="786" spans="1:25" x14ac:dyDescent="0.3">
      <c r="A786" t="s">
        <v>29</v>
      </c>
      <c r="B786" t="s">
        <v>32</v>
      </c>
      <c r="C786" t="s">
        <v>41</v>
      </c>
      <c r="D786" s="1">
        <v>44981</v>
      </c>
      <c r="E786">
        <v>45196953</v>
      </c>
      <c r="F786">
        <v>18821</v>
      </c>
      <c r="G786">
        <v>30.8</v>
      </c>
      <c r="H786">
        <v>52588</v>
      </c>
      <c r="I786">
        <v>875072</v>
      </c>
      <c r="J786">
        <v>12041</v>
      </c>
      <c r="K786">
        <v>442</v>
      </c>
      <c r="L786">
        <v>1137</v>
      </c>
      <c r="M786">
        <v>30214</v>
      </c>
      <c r="N786">
        <v>433392</v>
      </c>
      <c r="O786">
        <v>8096</v>
      </c>
      <c r="P786">
        <v>1171025</v>
      </c>
      <c r="Q786">
        <v>7.68</v>
      </c>
      <c r="R786">
        <v>13546755</v>
      </c>
      <c r="S786">
        <v>34276105</v>
      </c>
      <c r="T786">
        <v>5432561</v>
      </c>
      <c r="U786">
        <v>6.96</v>
      </c>
      <c r="V786">
        <v>4.0999999999999996</v>
      </c>
      <c r="W786">
        <v>1260</v>
      </c>
      <c r="X786">
        <v>0.77</v>
      </c>
      <c r="Y786">
        <v>93.44</v>
      </c>
    </row>
    <row r="787" spans="1:25" x14ac:dyDescent="0.3">
      <c r="A787" t="s">
        <v>28</v>
      </c>
      <c r="B787" t="s">
        <v>32</v>
      </c>
      <c r="C787" t="s">
        <v>40</v>
      </c>
      <c r="D787" s="1">
        <v>44982</v>
      </c>
      <c r="E787">
        <v>15134171</v>
      </c>
      <c r="F787">
        <v>6632</v>
      </c>
      <c r="G787">
        <v>31.1</v>
      </c>
      <c r="H787">
        <v>39285</v>
      </c>
      <c r="I787">
        <v>501653</v>
      </c>
      <c r="J787">
        <v>23227</v>
      </c>
      <c r="K787">
        <v>4161</v>
      </c>
      <c r="L787">
        <v>1758</v>
      </c>
      <c r="M787">
        <v>690246</v>
      </c>
      <c r="N787">
        <v>20423</v>
      </c>
      <c r="O787">
        <v>6748</v>
      </c>
      <c r="P787">
        <v>601988</v>
      </c>
      <c r="Q787">
        <v>19.82</v>
      </c>
      <c r="R787">
        <v>18759383</v>
      </c>
      <c r="S787">
        <v>2591090</v>
      </c>
      <c r="T787">
        <v>20931303</v>
      </c>
      <c r="U787">
        <v>15.36</v>
      </c>
      <c r="V787">
        <v>8.27</v>
      </c>
      <c r="W787">
        <v>2130</v>
      </c>
      <c r="X787">
        <v>2.91</v>
      </c>
      <c r="Y787">
        <v>14.77</v>
      </c>
    </row>
    <row r="788" spans="1:25" x14ac:dyDescent="0.3">
      <c r="A788" t="s">
        <v>25</v>
      </c>
      <c r="B788" t="s">
        <v>35</v>
      </c>
      <c r="C788" t="s">
        <v>40</v>
      </c>
      <c r="D788" s="1">
        <v>44983</v>
      </c>
      <c r="E788">
        <v>30661753</v>
      </c>
      <c r="F788">
        <v>13505</v>
      </c>
      <c r="G788">
        <v>49.3</v>
      </c>
      <c r="H788">
        <v>37307</v>
      </c>
      <c r="I788">
        <v>277735</v>
      </c>
      <c r="J788">
        <v>35201</v>
      </c>
      <c r="K788">
        <v>47690</v>
      </c>
      <c r="L788">
        <v>899</v>
      </c>
      <c r="M788">
        <v>371927</v>
      </c>
      <c r="N788">
        <v>230602</v>
      </c>
      <c r="O788">
        <v>4549</v>
      </c>
      <c r="P788">
        <v>760774</v>
      </c>
      <c r="Q788">
        <v>10.94</v>
      </c>
      <c r="R788">
        <v>22420758</v>
      </c>
      <c r="S788">
        <v>489922</v>
      </c>
      <c r="T788">
        <v>15023874</v>
      </c>
      <c r="U788">
        <v>76.44</v>
      </c>
      <c r="V788">
        <v>9.17</v>
      </c>
      <c r="W788">
        <v>4737</v>
      </c>
      <c r="X788">
        <v>0.55000000000000004</v>
      </c>
      <c r="Y788">
        <v>80.97</v>
      </c>
    </row>
    <row r="789" spans="1:25" x14ac:dyDescent="0.3">
      <c r="A789" t="s">
        <v>30</v>
      </c>
      <c r="B789" t="s">
        <v>36</v>
      </c>
      <c r="C789" t="s">
        <v>38</v>
      </c>
      <c r="D789" s="1">
        <v>44984</v>
      </c>
      <c r="E789">
        <v>24840709</v>
      </c>
      <c r="F789">
        <v>13167</v>
      </c>
      <c r="G789">
        <v>23.8</v>
      </c>
      <c r="H789">
        <v>20867</v>
      </c>
      <c r="I789">
        <v>622535</v>
      </c>
      <c r="J789">
        <v>36069</v>
      </c>
      <c r="K789">
        <v>6421</v>
      </c>
      <c r="L789">
        <v>501</v>
      </c>
      <c r="M789">
        <v>271206</v>
      </c>
      <c r="N789">
        <v>257349</v>
      </c>
      <c r="O789">
        <v>594</v>
      </c>
      <c r="P789">
        <v>1842963</v>
      </c>
      <c r="Q789">
        <v>23.58</v>
      </c>
      <c r="R789">
        <v>33735964</v>
      </c>
      <c r="S789">
        <v>4436134</v>
      </c>
      <c r="T789">
        <v>10307967</v>
      </c>
      <c r="U789">
        <v>72.400000000000006</v>
      </c>
      <c r="V789">
        <v>2.42</v>
      </c>
      <c r="W789">
        <v>2198</v>
      </c>
      <c r="X789">
        <v>1.1000000000000001</v>
      </c>
      <c r="Y789">
        <v>82.32</v>
      </c>
    </row>
    <row r="790" spans="1:25" x14ac:dyDescent="0.3">
      <c r="A790" t="s">
        <v>28</v>
      </c>
      <c r="B790" t="s">
        <v>36</v>
      </c>
      <c r="C790" t="s">
        <v>40</v>
      </c>
      <c r="D790" s="1">
        <v>44985</v>
      </c>
      <c r="E790">
        <v>8204694</v>
      </c>
      <c r="F790">
        <v>19000</v>
      </c>
      <c r="G790">
        <v>43.6</v>
      </c>
      <c r="H790">
        <v>57523</v>
      </c>
      <c r="I790">
        <v>705253</v>
      </c>
      <c r="J790">
        <v>16654</v>
      </c>
      <c r="K790">
        <v>30798</v>
      </c>
      <c r="L790">
        <v>1189</v>
      </c>
      <c r="M790">
        <v>317692</v>
      </c>
      <c r="N790">
        <v>6121</v>
      </c>
      <c r="O790">
        <v>5452</v>
      </c>
      <c r="P790">
        <v>1307147</v>
      </c>
      <c r="Q790">
        <v>3.65</v>
      </c>
      <c r="R790">
        <v>16085601</v>
      </c>
      <c r="S790">
        <v>17742314</v>
      </c>
      <c r="T790">
        <v>22946166</v>
      </c>
      <c r="U790">
        <v>56.5</v>
      </c>
      <c r="V790">
        <v>5.66</v>
      </c>
      <c r="W790">
        <v>1558</v>
      </c>
      <c r="X790">
        <v>0.25</v>
      </c>
      <c r="Y790">
        <v>70.87</v>
      </c>
    </row>
    <row r="791" spans="1:25" x14ac:dyDescent="0.3">
      <c r="A791" t="s">
        <v>27</v>
      </c>
      <c r="B791" t="s">
        <v>33</v>
      </c>
      <c r="C791" t="s">
        <v>38</v>
      </c>
      <c r="D791" s="1">
        <v>44986</v>
      </c>
      <c r="E791">
        <v>36433339</v>
      </c>
      <c r="F791">
        <v>17409</v>
      </c>
      <c r="G791">
        <v>28.7</v>
      </c>
      <c r="H791">
        <v>7378</v>
      </c>
      <c r="I791">
        <v>1727</v>
      </c>
      <c r="J791">
        <v>26370</v>
      </c>
      <c r="K791">
        <v>26633</v>
      </c>
      <c r="L791">
        <v>1012</v>
      </c>
      <c r="M791">
        <v>355939</v>
      </c>
      <c r="N791">
        <v>498057</v>
      </c>
      <c r="O791">
        <v>506</v>
      </c>
      <c r="P791">
        <v>464506</v>
      </c>
      <c r="Q791">
        <v>3.49</v>
      </c>
      <c r="R791">
        <v>20068893</v>
      </c>
      <c r="S791">
        <v>35861404</v>
      </c>
      <c r="T791">
        <v>5727961</v>
      </c>
      <c r="U791">
        <v>46.82</v>
      </c>
      <c r="V791">
        <v>6.55</v>
      </c>
      <c r="W791">
        <v>963</v>
      </c>
      <c r="X791">
        <v>2.62</v>
      </c>
      <c r="Y791">
        <v>13.13</v>
      </c>
    </row>
    <row r="792" spans="1:25" x14ac:dyDescent="0.3">
      <c r="A792" t="s">
        <v>27</v>
      </c>
      <c r="B792" t="s">
        <v>33</v>
      </c>
      <c r="C792" t="s">
        <v>38</v>
      </c>
      <c r="D792" s="1">
        <v>44987</v>
      </c>
      <c r="E792">
        <v>7490607</v>
      </c>
      <c r="F792">
        <v>1312</v>
      </c>
      <c r="G792">
        <v>41.4</v>
      </c>
      <c r="H792">
        <v>28926</v>
      </c>
      <c r="I792">
        <v>939863</v>
      </c>
      <c r="J792">
        <v>29482</v>
      </c>
      <c r="K792">
        <v>22114</v>
      </c>
      <c r="L792">
        <v>702</v>
      </c>
      <c r="M792">
        <v>12526</v>
      </c>
      <c r="N792">
        <v>302051</v>
      </c>
      <c r="O792">
        <v>4889</v>
      </c>
      <c r="P792">
        <v>438509</v>
      </c>
      <c r="Q792">
        <v>6.13</v>
      </c>
      <c r="R792">
        <v>10903699</v>
      </c>
      <c r="S792">
        <v>12146131</v>
      </c>
      <c r="T792">
        <v>15191865</v>
      </c>
      <c r="U792">
        <v>88.83</v>
      </c>
      <c r="V792">
        <v>5.46</v>
      </c>
      <c r="W792">
        <v>2830</v>
      </c>
      <c r="X792">
        <v>0.51</v>
      </c>
      <c r="Y792">
        <v>66.739999999999995</v>
      </c>
    </row>
    <row r="793" spans="1:25" x14ac:dyDescent="0.3">
      <c r="A793" t="s">
        <v>29</v>
      </c>
      <c r="B793" t="s">
        <v>36</v>
      </c>
      <c r="C793" t="s">
        <v>38</v>
      </c>
      <c r="D793" s="1">
        <v>44988</v>
      </c>
      <c r="E793">
        <v>31838158</v>
      </c>
      <c r="F793">
        <v>7432</v>
      </c>
      <c r="G793">
        <v>31.4</v>
      </c>
      <c r="H793">
        <v>14180</v>
      </c>
      <c r="I793">
        <v>44822</v>
      </c>
      <c r="J793">
        <v>11586</v>
      </c>
      <c r="K793">
        <v>266</v>
      </c>
      <c r="L793">
        <v>1198</v>
      </c>
      <c r="M793">
        <v>106647</v>
      </c>
      <c r="N793">
        <v>390549</v>
      </c>
      <c r="O793">
        <v>7637</v>
      </c>
      <c r="P793">
        <v>717696</v>
      </c>
      <c r="Q793">
        <v>2.5299999999999998</v>
      </c>
      <c r="R793">
        <v>5517967</v>
      </c>
      <c r="S793">
        <v>33496764</v>
      </c>
      <c r="T793">
        <v>16787944</v>
      </c>
      <c r="U793">
        <v>76.67</v>
      </c>
      <c r="V793">
        <v>4.62</v>
      </c>
      <c r="W793">
        <v>439</v>
      </c>
      <c r="X793">
        <v>2.4</v>
      </c>
      <c r="Y793">
        <v>88.91</v>
      </c>
    </row>
    <row r="794" spans="1:25" x14ac:dyDescent="0.3">
      <c r="A794" t="s">
        <v>26</v>
      </c>
      <c r="B794" t="s">
        <v>35</v>
      </c>
      <c r="C794" t="s">
        <v>40</v>
      </c>
      <c r="D794" s="1">
        <v>44989</v>
      </c>
      <c r="E794">
        <v>5032688</v>
      </c>
      <c r="F794">
        <v>3377</v>
      </c>
      <c r="G794">
        <v>36.5</v>
      </c>
      <c r="H794">
        <v>37931</v>
      </c>
      <c r="I794">
        <v>366543</v>
      </c>
      <c r="J794">
        <v>5322</v>
      </c>
      <c r="K794">
        <v>33449</v>
      </c>
      <c r="L794">
        <v>0</v>
      </c>
      <c r="M794">
        <v>556377</v>
      </c>
      <c r="N794">
        <v>312599</v>
      </c>
      <c r="O794">
        <v>8212</v>
      </c>
      <c r="P794">
        <v>809094</v>
      </c>
      <c r="Q794">
        <v>18.600000000000001</v>
      </c>
      <c r="R794">
        <v>31860802</v>
      </c>
      <c r="S794">
        <v>12559402</v>
      </c>
      <c r="T794">
        <v>5086588</v>
      </c>
      <c r="U794">
        <v>81.19</v>
      </c>
      <c r="V794">
        <v>2.3199999999999998</v>
      </c>
      <c r="W794">
        <v>4099</v>
      </c>
      <c r="X794">
        <v>4.67</v>
      </c>
      <c r="Y794">
        <v>42.55</v>
      </c>
    </row>
    <row r="795" spans="1:25" x14ac:dyDescent="0.3">
      <c r="A795" t="s">
        <v>30</v>
      </c>
      <c r="B795" t="s">
        <v>36</v>
      </c>
      <c r="C795" t="s">
        <v>38</v>
      </c>
      <c r="D795" s="1">
        <v>44990</v>
      </c>
      <c r="E795">
        <v>24856967</v>
      </c>
      <c r="F795">
        <v>18693</v>
      </c>
      <c r="G795">
        <v>44.6</v>
      </c>
      <c r="H795">
        <v>25014</v>
      </c>
      <c r="I795">
        <v>113113</v>
      </c>
      <c r="J795">
        <v>13932</v>
      </c>
      <c r="K795">
        <v>33267</v>
      </c>
      <c r="L795">
        <v>1922</v>
      </c>
      <c r="M795">
        <v>632987</v>
      </c>
      <c r="N795">
        <v>495755</v>
      </c>
      <c r="O795">
        <v>1399</v>
      </c>
      <c r="P795">
        <v>1580272</v>
      </c>
      <c r="Q795">
        <v>4.42</v>
      </c>
      <c r="R795">
        <v>23236528</v>
      </c>
      <c r="S795">
        <v>36275120</v>
      </c>
      <c r="T795">
        <v>22890439</v>
      </c>
      <c r="U795">
        <v>81.33</v>
      </c>
      <c r="V795">
        <v>5.14</v>
      </c>
      <c r="W795">
        <v>4305</v>
      </c>
      <c r="X795">
        <v>3.63</v>
      </c>
      <c r="Y795">
        <v>41.35</v>
      </c>
    </row>
    <row r="796" spans="1:25" x14ac:dyDescent="0.3">
      <c r="A796" t="s">
        <v>29</v>
      </c>
      <c r="B796" t="s">
        <v>35</v>
      </c>
      <c r="C796" t="s">
        <v>40</v>
      </c>
      <c r="D796" s="1">
        <v>44991</v>
      </c>
      <c r="E796">
        <v>28495739</v>
      </c>
      <c r="F796">
        <v>10070</v>
      </c>
      <c r="G796">
        <v>43.7</v>
      </c>
      <c r="H796">
        <v>59502</v>
      </c>
      <c r="I796">
        <v>220606</v>
      </c>
      <c r="J796">
        <v>29299</v>
      </c>
      <c r="K796">
        <v>39667</v>
      </c>
      <c r="L796">
        <v>740</v>
      </c>
      <c r="M796">
        <v>884206</v>
      </c>
      <c r="N796">
        <v>113515</v>
      </c>
      <c r="O796">
        <v>3201</v>
      </c>
      <c r="P796">
        <v>1745339</v>
      </c>
      <c r="Q796">
        <v>4.8</v>
      </c>
      <c r="R796">
        <v>16240484</v>
      </c>
      <c r="S796">
        <v>13131804</v>
      </c>
      <c r="T796">
        <v>10603376</v>
      </c>
      <c r="U796">
        <v>64.27</v>
      </c>
      <c r="V796">
        <v>4.3099999999999996</v>
      </c>
      <c r="W796">
        <v>3675</v>
      </c>
      <c r="X796">
        <v>0.48</v>
      </c>
      <c r="Y796">
        <v>44.29</v>
      </c>
    </row>
    <row r="797" spans="1:25" x14ac:dyDescent="0.3">
      <c r="A797" t="s">
        <v>26</v>
      </c>
      <c r="B797" t="s">
        <v>33</v>
      </c>
      <c r="C797" t="s">
        <v>38</v>
      </c>
      <c r="D797" s="1">
        <v>44992</v>
      </c>
      <c r="E797">
        <v>31697881</v>
      </c>
      <c r="F797">
        <v>17691</v>
      </c>
      <c r="G797">
        <v>45.7</v>
      </c>
      <c r="H797">
        <v>6470</v>
      </c>
      <c r="I797">
        <v>393575</v>
      </c>
      <c r="J797">
        <v>25179</v>
      </c>
      <c r="K797">
        <v>44684</v>
      </c>
      <c r="L797">
        <v>1109</v>
      </c>
      <c r="M797">
        <v>289488</v>
      </c>
      <c r="N797">
        <v>438048</v>
      </c>
      <c r="O797">
        <v>7854</v>
      </c>
      <c r="P797">
        <v>264369</v>
      </c>
      <c r="Q797">
        <v>0.43</v>
      </c>
      <c r="R797">
        <v>8609707</v>
      </c>
      <c r="S797">
        <v>37603177</v>
      </c>
      <c r="T797">
        <v>19092790</v>
      </c>
      <c r="U797">
        <v>45.8</v>
      </c>
      <c r="V797">
        <v>8.06</v>
      </c>
      <c r="W797">
        <v>1120</v>
      </c>
      <c r="X797">
        <v>1.2</v>
      </c>
      <c r="Y797">
        <v>8.23</v>
      </c>
    </row>
    <row r="798" spans="1:25" x14ac:dyDescent="0.3">
      <c r="A798" t="s">
        <v>26</v>
      </c>
      <c r="B798" t="s">
        <v>34</v>
      </c>
      <c r="C798" t="s">
        <v>39</v>
      </c>
      <c r="D798" s="1">
        <v>44993</v>
      </c>
      <c r="E798">
        <v>2863162</v>
      </c>
      <c r="F798">
        <v>16898</v>
      </c>
      <c r="G798">
        <v>19.899999999999999</v>
      </c>
      <c r="H798">
        <v>15953</v>
      </c>
      <c r="I798">
        <v>929433</v>
      </c>
      <c r="J798">
        <v>5257</v>
      </c>
      <c r="K798">
        <v>18076</v>
      </c>
      <c r="L798">
        <v>1597</v>
      </c>
      <c r="M798">
        <v>353059</v>
      </c>
      <c r="N798">
        <v>270955</v>
      </c>
      <c r="O798">
        <v>6763</v>
      </c>
      <c r="P798">
        <v>930700</v>
      </c>
      <c r="Q798">
        <v>23.46</v>
      </c>
      <c r="R798">
        <v>28734742</v>
      </c>
      <c r="S798">
        <v>39810896</v>
      </c>
      <c r="T798">
        <v>2919798</v>
      </c>
      <c r="U798">
        <v>86.47</v>
      </c>
      <c r="V798">
        <v>7.75</v>
      </c>
      <c r="W798">
        <v>4841</v>
      </c>
      <c r="X798">
        <v>3.4</v>
      </c>
      <c r="Y798">
        <v>89.2</v>
      </c>
    </row>
    <row r="799" spans="1:25" x14ac:dyDescent="0.3">
      <c r="A799" t="s">
        <v>27</v>
      </c>
      <c r="B799" t="s">
        <v>33</v>
      </c>
      <c r="C799" t="s">
        <v>38</v>
      </c>
      <c r="D799" s="1">
        <v>44994</v>
      </c>
      <c r="E799">
        <v>6180820</v>
      </c>
      <c r="F799">
        <v>14112</v>
      </c>
      <c r="G799">
        <v>40.1</v>
      </c>
      <c r="H799">
        <v>39507</v>
      </c>
      <c r="I799">
        <v>391732</v>
      </c>
      <c r="J799">
        <v>46501</v>
      </c>
      <c r="K799">
        <v>45381</v>
      </c>
      <c r="L799">
        <v>319</v>
      </c>
      <c r="M799">
        <v>209074</v>
      </c>
      <c r="N799">
        <v>456395</v>
      </c>
      <c r="O799">
        <v>7962</v>
      </c>
      <c r="P799">
        <v>464002</v>
      </c>
      <c r="Q799">
        <v>24.37</v>
      </c>
      <c r="R799">
        <v>26839936</v>
      </c>
      <c r="S799">
        <v>39975604</v>
      </c>
      <c r="T799">
        <v>9427575</v>
      </c>
      <c r="U799">
        <v>92.6</v>
      </c>
      <c r="V799">
        <v>1.77</v>
      </c>
      <c r="W799">
        <v>4903</v>
      </c>
      <c r="X799">
        <v>4.4800000000000004</v>
      </c>
      <c r="Y799">
        <v>86.92</v>
      </c>
    </row>
    <row r="800" spans="1:25" x14ac:dyDescent="0.3">
      <c r="A800" t="s">
        <v>25</v>
      </c>
      <c r="B800" t="s">
        <v>33</v>
      </c>
      <c r="C800" t="s">
        <v>37</v>
      </c>
      <c r="D800" s="1">
        <v>44995</v>
      </c>
      <c r="E800">
        <v>19970010</v>
      </c>
      <c r="F800">
        <v>19728</v>
      </c>
      <c r="G800">
        <v>22.5</v>
      </c>
      <c r="H800">
        <v>7523</v>
      </c>
      <c r="I800">
        <v>585379</v>
      </c>
      <c r="J800">
        <v>46136</v>
      </c>
      <c r="K800">
        <v>32756</v>
      </c>
      <c r="L800">
        <v>1424</v>
      </c>
      <c r="M800">
        <v>214840</v>
      </c>
      <c r="N800">
        <v>8004</v>
      </c>
      <c r="O800">
        <v>5190</v>
      </c>
      <c r="P800">
        <v>1196020</v>
      </c>
      <c r="Q800">
        <v>4.8600000000000003</v>
      </c>
      <c r="R800">
        <v>49155936</v>
      </c>
      <c r="S800">
        <v>39503521</v>
      </c>
      <c r="T800">
        <v>25354831</v>
      </c>
      <c r="U800">
        <v>2.38</v>
      </c>
      <c r="V800">
        <v>1.34</v>
      </c>
      <c r="W800">
        <v>2620</v>
      </c>
      <c r="X800">
        <v>0.26</v>
      </c>
      <c r="Y800">
        <v>99.79</v>
      </c>
    </row>
    <row r="801" spans="1:25" x14ac:dyDescent="0.3">
      <c r="A801" t="s">
        <v>31</v>
      </c>
      <c r="B801" t="s">
        <v>32</v>
      </c>
      <c r="C801" t="s">
        <v>38</v>
      </c>
      <c r="D801" s="1">
        <v>44996</v>
      </c>
      <c r="E801">
        <v>33057230</v>
      </c>
      <c r="F801">
        <v>6824</v>
      </c>
      <c r="G801">
        <v>31.3</v>
      </c>
      <c r="H801">
        <v>58190</v>
      </c>
      <c r="I801">
        <v>474594</v>
      </c>
      <c r="J801">
        <v>9777</v>
      </c>
      <c r="K801">
        <v>2470</v>
      </c>
      <c r="L801">
        <v>381</v>
      </c>
      <c r="M801">
        <v>55208</v>
      </c>
      <c r="N801">
        <v>64133</v>
      </c>
      <c r="O801">
        <v>5681</v>
      </c>
      <c r="P801">
        <v>782608</v>
      </c>
      <c r="Q801">
        <v>22.19</v>
      </c>
      <c r="R801">
        <v>20611470</v>
      </c>
      <c r="S801">
        <v>2259071</v>
      </c>
      <c r="T801">
        <v>2839593</v>
      </c>
      <c r="U801">
        <v>5.16</v>
      </c>
      <c r="V801">
        <v>9.1300000000000008</v>
      </c>
      <c r="W801">
        <v>3787</v>
      </c>
      <c r="X801">
        <v>4.08</v>
      </c>
      <c r="Y801">
        <v>58.52</v>
      </c>
    </row>
    <row r="802" spans="1:25" x14ac:dyDescent="0.3">
      <c r="A802" t="s">
        <v>25</v>
      </c>
      <c r="B802" t="s">
        <v>32</v>
      </c>
      <c r="C802" t="s">
        <v>41</v>
      </c>
      <c r="D802" s="1">
        <v>44997</v>
      </c>
      <c r="E802">
        <v>44654589</v>
      </c>
      <c r="F802">
        <v>15210</v>
      </c>
      <c r="G802">
        <v>35.6</v>
      </c>
      <c r="H802">
        <v>48761</v>
      </c>
      <c r="I802">
        <v>155591</v>
      </c>
      <c r="J802">
        <v>11249</v>
      </c>
      <c r="K802">
        <v>37307</v>
      </c>
      <c r="L802">
        <v>1741</v>
      </c>
      <c r="M802">
        <v>457641</v>
      </c>
      <c r="N802">
        <v>231759</v>
      </c>
      <c r="O802">
        <v>3678</v>
      </c>
      <c r="P802">
        <v>1591143</v>
      </c>
      <c r="Q802">
        <v>13.01</v>
      </c>
      <c r="R802">
        <v>40133759</v>
      </c>
      <c r="S802">
        <v>20376869</v>
      </c>
      <c r="T802">
        <v>29667860</v>
      </c>
      <c r="U802">
        <v>95.87</v>
      </c>
      <c r="V802">
        <v>5.59</v>
      </c>
      <c r="W802">
        <v>2829</v>
      </c>
      <c r="X802">
        <v>2.85</v>
      </c>
      <c r="Y802">
        <v>75.12</v>
      </c>
    </row>
    <row r="803" spans="1:25" x14ac:dyDescent="0.3">
      <c r="A803" t="s">
        <v>31</v>
      </c>
      <c r="B803" t="s">
        <v>32</v>
      </c>
      <c r="C803" t="s">
        <v>38</v>
      </c>
      <c r="D803" s="1">
        <v>44998</v>
      </c>
      <c r="E803">
        <v>36400136</v>
      </c>
      <c r="F803">
        <v>1280</v>
      </c>
      <c r="G803">
        <v>30.9</v>
      </c>
      <c r="H803">
        <v>32169</v>
      </c>
      <c r="I803">
        <v>411609</v>
      </c>
      <c r="J803">
        <v>21390</v>
      </c>
      <c r="K803">
        <v>34753</v>
      </c>
      <c r="L803">
        <v>1640</v>
      </c>
      <c r="M803">
        <v>595613</v>
      </c>
      <c r="N803">
        <v>348722</v>
      </c>
      <c r="O803">
        <v>336</v>
      </c>
      <c r="P803">
        <v>1159977</v>
      </c>
      <c r="Q803">
        <v>7.19</v>
      </c>
      <c r="R803">
        <v>42581328</v>
      </c>
      <c r="S803">
        <v>21506488</v>
      </c>
      <c r="T803">
        <v>5049144</v>
      </c>
      <c r="U803">
        <v>27.72</v>
      </c>
      <c r="V803">
        <v>8.65</v>
      </c>
      <c r="W803">
        <v>388</v>
      </c>
      <c r="X803">
        <v>2.78</v>
      </c>
      <c r="Y803">
        <v>20.27</v>
      </c>
    </row>
    <row r="804" spans="1:25" x14ac:dyDescent="0.3">
      <c r="A804" t="s">
        <v>28</v>
      </c>
      <c r="B804" t="s">
        <v>32</v>
      </c>
      <c r="C804" t="s">
        <v>37</v>
      </c>
      <c r="D804" s="1">
        <v>44999</v>
      </c>
      <c r="E804">
        <v>47024065</v>
      </c>
      <c r="F804">
        <v>9126</v>
      </c>
      <c r="G804">
        <v>34.6</v>
      </c>
      <c r="H804">
        <v>46641</v>
      </c>
      <c r="I804">
        <v>952822</v>
      </c>
      <c r="J804">
        <v>20369</v>
      </c>
      <c r="K804">
        <v>3226</v>
      </c>
      <c r="L804">
        <v>1341</v>
      </c>
      <c r="M804">
        <v>576362</v>
      </c>
      <c r="N804">
        <v>120135</v>
      </c>
      <c r="O804">
        <v>1667</v>
      </c>
      <c r="P804">
        <v>1276377</v>
      </c>
      <c r="Q804">
        <v>18.64</v>
      </c>
      <c r="R804">
        <v>44633011</v>
      </c>
      <c r="S804">
        <v>20560740</v>
      </c>
      <c r="T804">
        <v>10782007</v>
      </c>
      <c r="U804">
        <v>87.34</v>
      </c>
      <c r="V804">
        <v>1.05</v>
      </c>
      <c r="W804">
        <v>2026</v>
      </c>
      <c r="X804">
        <v>4.79</v>
      </c>
      <c r="Y804">
        <v>66.75</v>
      </c>
    </row>
    <row r="805" spans="1:25" x14ac:dyDescent="0.3">
      <c r="A805" t="s">
        <v>27</v>
      </c>
      <c r="B805" t="s">
        <v>35</v>
      </c>
      <c r="C805" t="s">
        <v>37</v>
      </c>
      <c r="D805" s="1">
        <v>45000</v>
      </c>
      <c r="E805">
        <v>42866372</v>
      </c>
      <c r="F805">
        <v>3855</v>
      </c>
      <c r="G805">
        <v>49.9</v>
      </c>
      <c r="H805">
        <v>23990</v>
      </c>
      <c r="I805">
        <v>206603</v>
      </c>
      <c r="J805">
        <v>12881</v>
      </c>
      <c r="K805">
        <v>14277</v>
      </c>
      <c r="L805">
        <v>1826</v>
      </c>
      <c r="M805">
        <v>348192</v>
      </c>
      <c r="N805">
        <v>220959</v>
      </c>
      <c r="O805">
        <v>909</v>
      </c>
      <c r="P805">
        <v>772668</v>
      </c>
      <c r="Q805">
        <v>5.35</v>
      </c>
      <c r="R805">
        <v>26777785</v>
      </c>
      <c r="S805">
        <v>16872835</v>
      </c>
      <c r="T805">
        <v>26285349</v>
      </c>
      <c r="U805">
        <v>38.880000000000003</v>
      </c>
      <c r="V805">
        <v>5.5</v>
      </c>
      <c r="W805">
        <v>3486</v>
      </c>
      <c r="X805">
        <v>3.76</v>
      </c>
      <c r="Y805">
        <v>64.97</v>
      </c>
    </row>
    <row r="806" spans="1:25" x14ac:dyDescent="0.3">
      <c r="A806" t="s">
        <v>26</v>
      </c>
      <c r="B806" t="s">
        <v>36</v>
      </c>
      <c r="C806" t="s">
        <v>40</v>
      </c>
      <c r="D806" s="1">
        <v>45001</v>
      </c>
      <c r="E806">
        <v>8777983</v>
      </c>
      <c r="F806">
        <v>14765</v>
      </c>
      <c r="G806">
        <v>22.3</v>
      </c>
      <c r="H806">
        <v>30661</v>
      </c>
      <c r="I806">
        <v>881624</v>
      </c>
      <c r="J806">
        <v>9587</v>
      </c>
      <c r="K806">
        <v>9591</v>
      </c>
      <c r="L806">
        <v>1273</v>
      </c>
      <c r="M806">
        <v>412528</v>
      </c>
      <c r="N806">
        <v>186268</v>
      </c>
      <c r="O806">
        <v>8467</v>
      </c>
      <c r="P806">
        <v>1553151</v>
      </c>
      <c r="Q806">
        <v>22.71</v>
      </c>
      <c r="R806">
        <v>26127619</v>
      </c>
      <c r="S806">
        <v>37803773</v>
      </c>
      <c r="T806">
        <v>22245973</v>
      </c>
      <c r="U806">
        <v>11.91</v>
      </c>
      <c r="V806">
        <v>5.62</v>
      </c>
      <c r="W806">
        <v>844</v>
      </c>
      <c r="X806">
        <v>4.2699999999999996</v>
      </c>
      <c r="Y806">
        <v>90.12</v>
      </c>
    </row>
    <row r="807" spans="1:25" x14ac:dyDescent="0.3">
      <c r="A807" t="s">
        <v>30</v>
      </c>
      <c r="B807" t="s">
        <v>34</v>
      </c>
      <c r="C807" t="s">
        <v>39</v>
      </c>
      <c r="D807" s="1">
        <v>45002</v>
      </c>
      <c r="E807">
        <v>17569791</v>
      </c>
      <c r="F807">
        <v>5800</v>
      </c>
      <c r="G807">
        <v>39.6</v>
      </c>
      <c r="H807">
        <v>14419</v>
      </c>
      <c r="I807">
        <v>180006</v>
      </c>
      <c r="J807">
        <v>28264</v>
      </c>
      <c r="K807">
        <v>4525</v>
      </c>
      <c r="L807">
        <v>1548</v>
      </c>
      <c r="M807">
        <v>232909</v>
      </c>
      <c r="N807">
        <v>221766</v>
      </c>
      <c r="O807">
        <v>9083</v>
      </c>
      <c r="P807">
        <v>1928412</v>
      </c>
      <c r="Q807">
        <v>1.43</v>
      </c>
      <c r="R807">
        <v>10971075</v>
      </c>
      <c r="S807">
        <v>15304321</v>
      </c>
      <c r="T807">
        <v>1061999</v>
      </c>
      <c r="U807">
        <v>8.0399999999999991</v>
      </c>
      <c r="V807">
        <v>8.68</v>
      </c>
      <c r="W807">
        <v>1772</v>
      </c>
      <c r="X807">
        <v>1.83</v>
      </c>
      <c r="Y807">
        <v>83.08</v>
      </c>
    </row>
    <row r="808" spans="1:25" x14ac:dyDescent="0.3">
      <c r="A808" t="s">
        <v>31</v>
      </c>
      <c r="B808" t="s">
        <v>33</v>
      </c>
      <c r="C808" t="s">
        <v>38</v>
      </c>
      <c r="D808" s="1">
        <v>45003</v>
      </c>
      <c r="E808">
        <v>32784704</v>
      </c>
      <c r="F808">
        <v>15677</v>
      </c>
      <c r="G808">
        <v>30.7</v>
      </c>
      <c r="H808">
        <v>15457</v>
      </c>
      <c r="I808">
        <v>373949</v>
      </c>
      <c r="J808">
        <v>8791</v>
      </c>
      <c r="K808">
        <v>22086</v>
      </c>
      <c r="L808">
        <v>1698</v>
      </c>
      <c r="M808">
        <v>711169</v>
      </c>
      <c r="N808">
        <v>231953</v>
      </c>
      <c r="O808">
        <v>8204</v>
      </c>
      <c r="P808">
        <v>170259</v>
      </c>
      <c r="Q808">
        <v>28.77</v>
      </c>
      <c r="R808">
        <v>677510</v>
      </c>
      <c r="S808">
        <v>13742603</v>
      </c>
      <c r="T808">
        <v>27563182</v>
      </c>
      <c r="U808">
        <v>15.65</v>
      </c>
      <c r="V808">
        <v>1.43</v>
      </c>
      <c r="W808">
        <v>3269</v>
      </c>
      <c r="X808">
        <v>2.82</v>
      </c>
      <c r="Y808">
        <v>93.85</v>
      </c>
    </row>
    <row r="809" spans="1:25" x14ac:dyDescent="0.3">
      <c r="A809" t="s">
        <v>25</v>
      </c>
      <c r="B809" t="s">
        <v>35</v>
      </c>
      <c r="C809" t="s">
        <v>40</v>
      </c>
      <c r="D809" s="1">
        <v>45004</v>
      </c>
      <c r="E809">
        <v>20478294</v>
      </c>
      <c r="F809">
        <v>13282</v>
      </c>
      <c r="G809">
        <v>22.3</v>
      </c>
      <c r="H809">
        <v>68600</v>
      </c>
      <c r="I809">
        <v>999607</v>
      </c>
      <c r="J809">
        <v>41473</v>
      </c>
      <c r="K809">
        <v>44826</v>
      </c>
      <c r="L809">
        <v>1578</v>
      </c>
      <c r="M809">
        <v>589018</v>
      </c>
      <c r="N809">
        <v>265337</v>
      </c>
      <c r="O809">
        <v>5122</v>
      </c>
      <c r="P809">
        <v>248145</v>
      </c>
      <c r="Q809">
        <v>2.16</v>
      </c>
      <c r="R809">
        <v>40785453</v>
      </c>
      <c r="S809">
        <v>10544674</v>
      </c>
      <c r="T809">
        <v>19572533</v>
      </c>
      <c r="U809">
        <v>24.99</v>
      </c>
      <c r="V809">
        <v>2.78</v>
      </c>
      <c r="W809">
        <v>948</v>
      </c>
      <c r="X809">
        <v>3.12</v>
      </c>
      <c r="Y809">
        <v>86.88</v>
      </c>
    </row>
    <row r="810" spans="1:25" x14ac:dyDescent="0.3">
      <c r="A810" t="s">
        <v>26</v>
      </c>
      <c r="B810" t="s">
        <v>34</v>
      </c>
      <c r="C810" t="s">
        <v>39</v>
      </c>
      <c r="D810" s="1">
        <v>45005</v>
      </c>
      <c r="E810">
        <v>10531033</v>
      </c>
      <c r="F810">
        <v>3185</v>
      </c>
      <c r="G810">
        <v>23.1</v>
      </c>
      <c r="H810">
        <v>34085</v>
      </c>
      <c r="I810">
        <v>160912</v>
      </c>
      <c r="J810">
        <v>22375</v>
      </c>
      <c r="K810">
        <v>9786</v>
      </c>
      <c r="L810">
        <v>897</v>
      </c>
      <c r="M810">
        <v>254951</v>
      </c>
      <c r="N810">
        <v>287162</v>
      </c>
      <c r="O810">
        <v>8153</v>
      </c>
      <c r="P810">
        <v>311625</v>
      </c>
      <c r="Q810">
        <v>17.38</v>
      </c>
      <c r="R810">
        <v>25397768</v>
      </c>
      <c r="S810">
        <v>35071303</v>
      </c>
      <c r="T810">
        <v>4191533</v>
      </c>
      <c r="U810">
        <v>48.85</v>
      </c>
      <c r="V810">
        <v>4.3600000000000003</v>
      </c>
      <c r="W810">
        <v>152</v>
      </c>
      <c r="X810">
        <v>1.68</v>
      </c>
      <c r="Y810">
        <v>86.87</v>
      </c>
    </row>
    <row r="811" spans="1:25" x14ac:dyDescent="0.3">
      <c r="A811" t="s">
        <v>31</v>
      </c>
      <c r="B811" t="s">
        <v>35</v>
      </c>
      <c r="C811" t="s">
        <v>38</v>
      </c>
      <c r="D811" s="1">
        <v>45006</v>
      </c>
      <c r="E811">
        <v>19884838</v>
      </c>
      <c r="F811">
        <v>7003</v>
      </c>
      <c r="G811">
        <v>48.4</v>
      </c>
      <c r="H811">
        <v>51654</v>
      </c>
      <c r="I811">
        <v>905521</v>
      </c>
      <c r="J811">
        <v>22611</v>
      </c>
      <c r="K811">
        <v>21957</v>
      </c>
      <c r="L811">
        <v>1975</v>
      </c>
      <c r="M811">
        <v>827513</v>
      </c>
      <c r="N811">
        <v>466059</v>
      </c>
      <c r="O811">
        <v>973</v>
      </c>
      <c r="P811">
        <v>684835</v>
      </c>
      <c r="Q811">
        <v>27.07</v>
      </c>
      <c r="R811">
        <v>7396822</v>
      </c>
      <c r="S811">
        <v>17330029</v>
      </c>
      <c r="T811">
        <v>3934147</v>
      </c>
      <c r="U811">
        <v>70.150000000000006</v>
      </c>
      <c r="V811">
        <v>8.73</v>
      </c>
      <c r="W811">
        <v>2909</v>
      </c>
      <c r="X811">
        <v>2.89</v>
      </c>
      <c r="Y811">
        <v>6.37</v>
      </c>
    </row>
    <row r="812" spans="1:25" x14ac:dyDescent="0.3">
      <c r="A812" t="s">
        <v>31</v>
      </c>
      <c r="B812" t="s">
        <v>35</v>
      </c>
      <c r="C812" t="s">
        <v>41</v>
      </c>
      <c r="D812" s="1">
        <v>45007</v>
      </c>
      <c r="E812">
        <v>19164179</v>
      </c>
      <c r="F812">
        <v>1596</v>
      </c>
      <c r="G812">
        <v>46.1</v>
      </c>
      <c r="H812">
        <v>7130</v>
      </c>
      <c r="I812">
        <v>614655</v>
      </c>
      <c r="J812">
        <v>42026</v>
      </c>
      <c r="K812">
        <v>2973</v>
      </c>
      <c r="L812">
        <v>1646</v>
      </c>
      <c r="M812">
        <v>247674</v>
      </c>
      <c r="N812">
        <v>193808</v>
      </c>
      <c r="O812">
        <v>4270</v>
      </c>
      <c r="P812">
        <v>1094128</v>
      </c>
      <c r="Q812">
        <v>0.36</v>
      </c>
      <c r="R812">
        <v>22872224</v>
      </c>
      <c r="S812">
        <v>13121698</v>
      </c>
      <c r="T812">
        <v>8451587</v>
      </c>
      <c r="U812">
        <v>98.64</v>
      </c>
      <c r="V812">
        <v>9.42</v>
      </c>
      <c r="W812">
        <v>4238</v>
      </c>
      <c r="X812">
        <v>1.26</v>
      </c>
      <c r="Y812">
        <v>84.6</v>
      </c>
    </row>
    <row r="813" spans="1:25" x14ac:dyDescent="0.3">
      <c r="A813" t="s">
        <v>31</v>
      </c>
      <c r="B813" t="s">
        <v>33</v>
      </c>
      <c r="C813" t="s">
        <v>38</v>
      </c>
      <c r="D813" s="1">
        <v>45008</v>
      </c>
      <c r="E813">
        <v>5804120</v>
      </c>
      <c r="F813">
        <v>15507</v>
      </c>
      <c r="G813">
        <v>47</v>
      </c>
      <c r="H813">
        <v>3042</v>
      </c>
      <c r="I813">
        <v>14265</v>
      </c>
      <c r="J813">
        <v>7833</v>
      </c>
      <c r="K813">
        <v>6796</v>
      </c>
      <c r="L813">
        <v>716</v>
      </c>
      <c r="M813">
        <v>440344</v>
      </c>
      <c r="N813">
        <v>189978</v>
      </c>
      <c r="O813">
        <v>1408</v>
      </c>
      <c r="P813">
        <v>200041</v>
      </c>
      <c r="Q813">
        <v>14.96</v>
      </c>
      <c r="R813">
        <v>40647968</v>
      </c>
      <c r="S813">
        <v>12280206</v>
      </c>
      <c r="T813">
        <v>22844125</v>
      </c>
      <c r="U813">
        <v>44.15</v>
      </c>
      <c r="V813">
        <v>9.93</v>
      </c>
      <c r="W813">
        <v>1497</v>
      </c>
      <c r="X813">
        <v>0.8</v>
      </c>
      <c r="Y813">
        <v>60.75</v>
      </c>
    </row>
    <row r="814" spans="1:25" x14ac:dyDescent="0.3">
      <c r="A814" t="s">
        <v>30</v>
      </c>
      <c r="B814" t="s">
        <v>36</v>
      </c>
      <c r="C814" t="s">
        <v>37</v>
      </c>
      <c r="D814" s="1">
        <v>45009</v>
      </c>
      <c r="E814">
        <v>35502379</v>
      </c>
      <c r="F814">
        <v>17528</v>
      </c>
      <c r="G814">
        <v>49.7</v>
      </c>
      <c r="H814">
        <v>43982</v>
      </c>
      <c r="I814">
        <v>399640</v>
      </c>
      <c r="J814">
        <v>47013</v>
      </c>
      <c r="K814">
        <v>13876</v>
      </c>
      <c r="L814">
        <v>1919</v>
      </c>
      <c r="M814">
        <v>220200</v>
      </c>
      <c r="N814">
        <v>140566</v>
      </c>
      <c r="O814">
        <v>2288</v>
      </c>
      <c r="P814">
        <v>1257182</v>
      </c>
      <c r="Q814">
        <v>10.5</v>
      </c>
      <c r="R814">
        <v>24179027</v>
      </c>
      <c r="S814">
        <v>29329990</v>
      </c>
      <c r="T814">
        <v>23152577</v>
      </c>
      <c r="U814">
        <v>51.82</v>
      </c>
      <c r="V814">
        <v>9.61</v>
      </c>
      <c r="W814">
        <v>4264</v>
      </c>
      <c r="X814">
        <v>1.93</v>
      </c>
      <c r="Y814">
        <v>38.04</v>
      </c>
    </row>
    <row r="815" spans="1:25" x14ac:dyDescent="0.3">
      <c r="A815" t="s">
        <v>27</v>
      </c>
      <c r="B815" t="s">
        <v>32</v>
      </c>
      <c r="C815" t="s">
        <v>37</v>
      </c>
      <c r="D815" s="1">
        <v>45010</v>
      </c>
      <c r="E815">
        <v>6313775</v>
      </c>
      <c r="F815">
        <v>2461</v>
      </c>
      <c r="G815">
        <v>24.7</v>
      </c>
      <c r="H815">
        <v>66185</v>
      </c>
      <c r="I815">
        <v>414841</v>
      </c>
      <c r="J815">
        <v>15754</v>
      </c>
      <c r="K815">
        <v>38978</v>
      </c>
      <c r="L815">
        <v>1279</v>
      </c>
      <c r="M815">
        <v>287749</v>
      </c>
      <c r="N815">
        <v>124601</v>
      </c>
      <c r="O815">
        <v>8738</v>
      </c>
      <c r="P815">
        <v>1804541</v>
      </c>
      <c r="Q815">
        <v>17.41</v>
      </c>
      <c r="R815">
        <v>4300675</v>
      </c>
      <c r="S815">
        <v>31333868</v>
      </c>
      <c r="T815">
        <v>14314716</v>
      </c>
      <c r="U815">
        <v>52.18</v>
      </c>
      <c r="V815">
        <v>0.56000000000000005</v>
      </c>
      <c r="W815">
        <v>2082</v>
      </c>
      <c r="X815">
        <v>3.72</v>
      </c>
      <c r="Y815">
        <v>5.65</v>
      </c>
    </row>
    <row r="816" spans="1:25" x14ac:dyDescent="0.3">
      <c r="A816" t="s">
        <v>30</v>
      </c>
      <c r="B816" t="s">
        <v>36</v>
      </c>
      <c r="C816" t="s">
        <v>41</v>
      </c>
      <c r="D816" s="1">
        <v>45011</v>
      </c>
      <c r="E816">
        <v>24519663</v>
      </c>
      <c r="F816">
        <v>19051</v>
      </c>
      <c r="G816">
        <v>29.4</v>
      </c>
      <c r="H816">
        <v>34477</v>
      </c>
      <c r="I816">
        <v>604910</v>
      </c>
      <c r="J816">
        <v>42048</v>
      </c>
      <c r="K816">
        <v>32315</v>
      </c>
      <c r="L816">
        <v>306</v>
      </c>
      <c r="M816">
        <v>866762</v>
      </c>
      <c r="N816">
        <v>260328</v>
      </c>
      <c r="O816">
        <v>1218</v>
      </c>
      <c r="P816">
        <v>787157</v>
      </c>
      <c r="Q816">
        <v>6.76</v>
      </c>
      <c r="R816">
        <v>19173184</v>
      </c>
      <c r="S816">
        <v>10512005</v>
      </c>
      <c r="T816">
        <v>9514154</v>
      </c>
      <c r="U816">
        <v>53.94</v>
      </c>
      <c r="V816">
        <v>0.95</v>
      </c>
      <c r="W816">
        <v>4082</v>
      </c>
      <c r="X816">
        <v>4.59</v>
      </c>
      <c r="Y816">
        <v>67.77</v>
      </c>
    </row>
    <row r="817" spans="1:25" x14ac:dyDescent="0.3">
      <c r="A817" t="s">
        <v>29</v>
      </c>
      <c r="B817" t="s">
        <v>33</v>
      </c>
      <c r="C817" t="s">
        <v>40</v>
      </c>
      <c r="D817" s="1">
        <v>45012</v>
      </c>
      <c r="E817">
        <v>13065034</v>
      </c>
      <c r="F817">
        <v>14163</v>
      </c>
      <c r="G817">
        <v>39.4</v>
      </c>
      <c r="H817">
        <v>53709</v>
      </c>
      <c r="I817">
        <v>685547</v>
      </c>
      <c r="J817">
        <v>12577</v>
      </c>
      <c r="K817">
        <v>17370</v>
      </c>
      <c r="L817">
        <v>1973</v>
      </c>
      <c r="M817">
        <v>515039</v>
      </c>
      <c r="N817">
        <v>92610</v>
      </c>
      <c r="O817">
        <v>1420</v>
      </c>
      <c r="P817">
        <v>1449650</v>
      </c>
      <c r="Q817">
        <v>1.95</v>
      </c>
      <c r="R817">
        <v>16706665</v>
      </c>
      <c r="S817">
        <v>24248558</v>
      </c>
      <c r="T817">
        <v>18938173</v>
      </c>
      <c r="U817">
        <v>51.77</v>
      </c>
      <c r="V817">
        <v>1.9</v>
      </c>
      <c r="W817">
        <v>3110</v>
      </c>
      <c r="X817">
        <v>2.34</v>
      </c>
      <c r="Y817">
        <v>32.82</v>
      </c>
    </row>
    <row r="818" spans="1:25" x14ac:dyDescent="0.3">
      <c r="A818" t="s">
        <v>26</v>
      </c>
      <c r="B818" t="s">
        <v>33</v>
      </c>
      <c r="C818" t="s">
        <v>39</v>
      </c>
      <c r="D818" s="1">
        <v>45013</v>
      </c>
      <c r="E818">
        <v>29522580</v>
      </c>
      <c r="F818">
        <v>4195</v>
      </c>
      <c r="G818">
        <v>33.5</v>
      </c>
      <c r="H818">
        <v>29716</v>
      </c>
      <c r="I818">
        <v>299073</v>
      </c>
      <c r="J818">
        <v>31095</v>
      </c>
      <c r="K818">
        <v>40123</v>
      </c>
      <c r="L818">
        <v>1167</v>
      </c>
      <c r="M818">
        <v>331801</v>
      </c>
      <c r="N818">
        <v>93808</v>
      </c>
      <c r="O818">
        <v>9646</v>
      </c>
      <c r="P818">
        <v>730846</v>
      </c>
      <c r="Q818">
        <v>18.78</v>
      </c>
      <c r="R818">
        <v>31491873</v>
      </c>
      <c r="S818">
        <v>9948949</v>
      </c>
      <c r="T818">
        <v>21091299</v>
      </c>
      <c r="U818">
        <v>0.88</v>
      </c>
      <c r="V818">
        <v>3.81</v>
      </c>
      <c r="W818">
        <v>1584</v>
      </c>
      <c r="X818">
        <v>3.25</v>
      </c>
      <c r="Y818">
        <v>46.78</v>
      </c>
    </row>
    <row r="819" spans="1:25" x14ac:dyDescent="0.3">
      <c r="A819" t="s">
        <v>27</v>
      </c>
      <c r="B819" t="s">
        <v>33</v>
      </c>
      <c r="C819" t="s">
        <v>38</v>
      </c>
      <c r="D819" s="1">
        <v>45014</v>
      </c>
      <c r="E819">
        <v>25555715</v>
      </c>
      <c r="F819">
        <v>2825</v>
      </c>
      <c r="G819">
        <v>31.4</v>
      </c>
      <c r="H819">
        <v>37018</v>
      </c>
      <c r="I819">
        <v>325036</v>
      </c>
      <c r="J819">
        <v>21248</v>
      </c>
      <c r="K819">
        <v>32823</v>
      </c>
      <c r="L819">
        <v>1681</v>
      </c>
      <c r="M819">
        <v>426158</v>
      </c>
      <c r="N819">
        <v>97919</v>
      </c>
      <c r="O819">
        <v>3377</v>
      </c>
      <c r="P819">
        <v>75474</v>
      </c>
      <c r="Q819">
        <v>12.51</v>
      </c>
      <c r="R819">
        <v>25572826</v>
      </c>
      <c r="S819">
        <v>36250746</v>
      </c>
      <c r="T819">
        <v>1521876</v>
      </c>
      <c r="U819">
        <v>0.17</v>
      </c>
      <c r="V819">
        <v>8.3800000000000008</v>
      </c>
      <c r="W819">
        <v>2897</v>
      </c>
      <c r="X819">
        <v>0.6</v>
      </c>
      <c r="Y819">
        <v>68.17</v>
      </c>
    </row>
    <row r="820" spans="1:25" x14ac:dyDescent="0.3">
      <c r="A820" t="s">
        <v>27</v>
      </c>
      <c r="B820" t="s">
        <v>34</v>
      </c>
      <c r="C820" t="s">
        <v>37</v>
      </c>
      <c r="D820" s="1">
        <v>45015</v>
      </c>
      <c r="E820">
        <v>6972652</v>
      </c>
      <c r="F820">
        <v>13243</v>
      </c>
      <c r="G820">
        <v>29.4</v>
      </c>
      <c r="H820">
        <v>9061</v>
      </c>
      <c r="I820">
        <v>676899</v>
      </c>
      <c r="J820">
        <v>35282</v>
      </c>
      <c r="K820">
        <v>1203</v>
      </c>
      <c r="L820">
        <v>390</v>
      </c>
      <c r="M820">
        <v>349879</v>
      </c>
      <c r="N820">
        <v>235703</v>
      </c>
      <c r="O820">
        <v>7501</v>
      </c>
      <c r="P820">
        <v>288312</v>
      </c>
      <c r="Q820">
        <v>18.670000000000002</v>
      </c>
      <c r="R820">
        <v>12021588</v>
      </c>
      <c r="S820">
        <v>4498965</v>
      </c>
      <c r="T820">
        <v>4604156</v>
      </c>
      <c r="U820">
        <v>9.77</v>
      </c>
      <c r="V820">
        <v>8.98</v>
      </c>
      <c r="W820">
        <v>3259</v>
      </c>
      <c r="X820">
        <v>4.53</v>
      </c>
      <c r="Y820">
        <v>91.18</v>
      </c>
    </row>
    <row r="821" spans="1:25" x14ac:dyDescent="0.3">
      <c r="A821" t="s">
        <v>27</v>
      </c>
      <c r="B821" t="s">
        <v>36</v>
      </c>
      <c r="C821" t="s">
        <v>40</v>
      </c>
      <c r="D821" s="1">
        <v>45016</v>
      </c>
      <c r="E821">
        <v>23883686</v>
      </c>
      <c r="F821">
        <v>12901</v>
      </c>
      <c r="G821">
        <v>37</v>
      </c>
      <c r="H821">
        <v>9609</v>
      </c>
      <c r="I821">
        <v>319774</v>
      </c>
      <c r="J821">
        <v>36737</v>
      </c>
      <c r="K821">
        <v>4522</v>
      </c>
      <c r="L821">
        <v>1836</v>
      </c>
      <c r="M821">
        <v>771302</v>
      </c>
      <c r="N821">
        <v>406596</v>
      </c>
      <c r="O821">
        <v>4098</v>
      </c>
      <c r="P821">
        <v>1605963</v>
      </c>
      <c r="Q821">
        <v>6.32</v>
      </c>
      <c r="R821">
        <v>27010647</v>
      </c>
      <c r="S821">
        <v>6942362</v>
      </c>
      <c r="T821">
        <v>29941883</v>
      </c>
      <c r="U821">
        <v>10.16</v>
      </c>
      <c r="V821">
        <v>2.27</v>
      </c>
      <c r="W821">
        <v>4620</v>
      </c>
      <c r="X821">
        <v>2.89</v>
      </c>
      <c r="Y821">
        <v>82.54</v>
      </c>
    </row>
    <row r="822" spans="1:25" x14ac:dyDescent="0.3">
      <c r="A822" t="s">
        <v>25</v>
      </c>
      <c r="B822" t="s">
        <v>36</v>
      </c>
      <c r="C822" t="s">
        <v>41</v>
      </c>
      <c r="D822" s="1">
        <v>45017</v>
      </c>
      <c r="E822">
        <v>18775555</v>
      </c>
      <c r="F822">
        <v>13120</v>
      </c>
      <c r="G822">
        <v>36.4</v>
      </c>
      <c r="H822">
        <v>36371</v>
      </c>
      <c r="I822">
        <v>222711</v>
      </c>
      <c r="J822">
        <v>31891</v>
      </c>
      <c r="K822">
        <v>22676</v>
      </c>
      <c r="L822">
        <v>1699</v>
      </c>
      <c r="M822">
        <v>264991</v>
      </c>
      <c r="N822">
        <v>36403</v>
      </c>
      <c r="O822">
        <v>2738</v>
      </c>
      <c r="P822">
        <v>203252</v>
      </c>
      <c r="Q822">
        <v>10.16</v>
      </c>
      <c r="R822">
        <v>37639630</v>
      </c>
      <c r="S822">
        <v>22883707</v>
      </c>
      <c r="T822">
        <v>27754111</v>
      </c>
      <c r="U822">
        <v>70.489999999999995</v>
      </c>
      <c r="V822">
        <v>6.39</v>
      </c>
      <c r="W822">
        <v>3513</v>
      </c>
      <c r="X822">
        <v>3.92</v>
      </c>
      <c r="Y822">
        <v>45.06</v>
      </c>
    </row>
    <row r="823" spans="1:25" x14ac:dyDescent="0.3">
      <c r="A823" t="s">
        <v>27</v>
      </c>
      <c r="B823" t="s">
        <v>35</v>
      </c>
      <c r="C823" t="s">
        <v>37</v>
      </c>
      <c r="D823" s="1">
        <v>45018</v>
      </c>
      <c r="E823">
        <v>14719886</v>
      </c>
      <c r="F823">
        <v>19589</v>
      </c>
      <c r="G823">
        <v>23.2</v>
      </c>
      <c r="H823">
        <v>21805</v>
      </c>
      <c r="I823">
        <v>487626</v>
      </c>
      <c r="J823">
        <v>24124</v>
      </c>
      <c r="K823">
        <v>16640</v>
      </c>
      <c r="L823">
        <v>1192</v>
      </c>
      <c r="M823">
        <v>750882</v>
      </c>
      <c r="N823">
        <v>27553</v>
      </c>
      <c r="O823">
        <v>7619</v>
      </c>
      <c r="P823">
        <v>1814318</v>
      </c>
      <c r="Q823">
        <v>16.850000000000001</v>
      </c>
      <c r="R823">
        <v>28194274</v>
      </c>
      <c r="S823">
        <v>38055893</v>
      </c>
      <c r="T823">
        <v>22652116</v>
      </c>
      <c r="U823">
        <v>20.49</v>
      </c>
      <c r="V823">
        <v>9.2100000000000009</v>
      </c>
      <c r="W823">
        <v>484</v>
      </c>
      <c r="X823">
        <v>3.99</v>
      </c>
      <c r="Y823">
        <v>38.78</v>
      </c>
    </row>
    <row r="824" spans="1:25" x14ac:dyDescent="0.3">
      <c r="A824" t="s">
        <v>30</v>
      </c>
      <c r="B824" t="s">
        <v>35</v>
      </c>
      <c r="C824" t="s">
        <v>41</v>
      </c>
      <c r="D824" s="1">
        <v>45019</v>
      </c>
      <c r="E824">
        <v>16413266</v>
      </c>
      <c r="F824">
        <v>4020</v>
      </c>
      <c r="G824">
        <v>33.1</v>
      </c>
      <c r="H824">
        <v>8857</v>
      </c>
      <c r="I824">
        <v>927719</v>
      </c>
      <c r="J824">
        <v>4566</v>
      </c>
      <c r="K824">
        <v>8993</v>
      </c>
      <c r="L824">
        <v>989</v>
      </c>
      <c r="M824">
        <v>834582</v>
      </c>
      <c r="N824">
        <v>371130</v>
      </c>
      <c r="O824">
        <v>1842</v>
      </c>
      <c r="P824">
        <v>1373175</v>
      </c>
      <c r="Q824">
        <v>17.79</v>
      </c>
      <c r="R824">
        <v>7832728</v>
      </c>
      <c r="S824">
        <v>12622825</v>
      </c>
      <c r="T824">
        <v>29508207</v>
      </c>
      <c r="U824">
        <v>89.47</v>
      </c>
      <c r="V824">
        <v>4.91</v>
      </c>
      <c r="W824">
        <v>1307</v>
      </c>
      <c r="X824">
        <v>1.36</v>
      </c>
      <c r="Y824">
        <v>23.98</v>
      </c>
    </row>
    <row r="825" spans="1:25" x14ac:dyDescent="0.3">
      <c r="A825" t="s">
        <v>27</v>
      </c>
      <c r="B825" t="s">
        <v>35</v>
      </c>
      <c r="C825" t="s">
        <v>38</v>
      </c>
      <c r="D825" s="1">
        <v>45020</v>
      </c>
      <c r="E825">
        <v>34730728</v>
      </c>
      <c r="F825">
        <v>14169</v>
      </c>
      <c r="G825">
        <v>35.700000000000003</v>
      </c>
      <c r="H825">
        <v>12620</v>
      </c>
      <c r="I825">
        <v>171457</v>
      </c>
      <c r="J825">
        <v>2196</v>
      </c>
      <c r="K825">
        <v>646</v>
      </c>
      <c r="L825">
        <v>297</v>
      </c>
      <c r="M825">
        <v>148682</v>
      </c>
      <c r="N825">
        <v>322939</v>
      </c>
      <c r="O825">
        <v>8938</v>
      </c>
      <c r="P825">
        <v>579528</v>
      </c>
      <c r="Q825">
        <v>11.17</v>
      </c>
      <c r="R825">
        <v>37966608</v>
      </c>
      <c r="S825">
        <v>6373624</v>
      </c>
      <c r="T825">
        <v>25529428</v>
      </c>
      <c r="U825">
        <v>92.86</v>
      </c>
      <c r="V825">
        <v>1.48</v>
      </c>
      <c r="W825">
        <v>104</v>
      </c>
      <c r="X825">
        <v>2.69</v>
      </c>
      <c r="Y825">
        <v>37.24</v>
      </c>
    </row>
    <row r="826" spans="1:25" x14ac:dyDescent="0.3">
      <c r="A826" t="s">
        <v>28</v>
      </c>
      <c r="B826" t="s">
        <v>33</v>
      </c>
      <c r="C826" t="s">
        <v>39</v>
      </c>
      <c r="D826" s="1">
        <v>45021</v>
      </c>
      <c r="E826">
        <v>879039</v>
      </c>
      <c r="F826">
        <v>4381</v>
      </c>
      <c r="G826">
        <v>36.200000000000003</v>
      </c>
      <c r="H826">
        <v>9177</v>
      </c>
      <c r="I826">
        <v>656313</v>
      </c>
      <c r="J826">
        <v>31115</v>
      </c>
      <c r="K826">
        <v>3785</v>
      </c>
      <c r="L826">
        <v>232</v>
      </c>
      <c r="M826">
        <v>193742</v>
      </c>
      <c r="N826">
        <v>199621</v>
      </c>
      <c r="O826">
        <v>2816</v>
      </c>
      <c r="P826">
        <v>337940</v>
      </c>
      <c r="Q826">
        <v>8.4</v>
      </c>
      <c r="R826">
        <v>27610260</v>
      </c>
      <c r="S826">
        <v>34957832</v>
      </c>
      <c r="T826">
        <v>15169027</v>
      </c>
      <c r="U826">
        <v>97.59</v>
      </c>
      <c r="V826">
        <v>4.8499999999999996</v>
      </c>
      <c r="W826">
        <v>980</v>
      </c>
      <c r="X826">
        <v>4.8099999999999996</v>
      </c>
      <c r="Y826">
        <v>11.1</v>
      </c>
    </row>
    <row r="827" spans="1:25" x14ac:dyDescent="0.3">
      <c r="A827" t="s">
        <v>26</v>
      </c>
      <c r="B827" t="s">
        <v>36</v>
      </c>
      <c r="C827" t="s">
        <v>37</v>
      </c>
      <c r="D827" s="1">
        <v>45022</v>
      </c>
      <c r="E827">
        <v>34583146</v>
      </c>
      <c r="F827">
        <v>10345</v>
      </c>
      <c r="G827">
        <v>24.7</v>
      </c>
      <c r="H827">
        <v>31111</v>
      </c>
      <c r="I827">
        <v>612868</v>
      </c>
      <c r="J827">
        <v>49941</v>
      </c>
      <c r="K827">
        <v>2431</v>
      </c>
      <c r="L827">
        <v>1926</v>
      </c>
      <c r="M827">
        <v>707661</v>
      </c>
      <c r="N827">
        <v>156937</v>
      </c>
      <c r="O827">
        <v>9063</v>
      </c>
      <c r="P827">
        <v>1890600</v>
      </c>
      <c r="Q827">
        <v>8.2100000000000009</v>
      </c>
      <c r="R827">
        <v>31792780</v>
      </c>
      <c r="S827">
        <v>14626849</v>
      </c>
      <c r="T827">
        <v>4926528</v>
      </c>
      <c r="U827">
        <v>93.91</v>
      </c>
      <c r="V827">
        <v>4.07</v>
      </c>
      <c r="W827">
        <v>2849</v>
      </c>
      <c r="X827">
        <v>0.54</v>
      </c>
      <c r="Y827">
        <v>97.11</v>
      </c>
    </row>
    <row r="828" spans="1:25" x14ac:dyDescent="0.3">
      <c r="A828" t="s">
        <v>27</v>
      </c>
      <c r="B828" t="s">
        <v>33</v>
      </c>
      <c r="C828" t="s">
        <v>37</v>
      </c>
      <c r="D828" s="1">
        <v>45023</v>
      </c>
      <c r="E828">
        <v>7535655</v>
      </c>
      <c r="F828">
        <v>1992</v>
      </c>
      <c r="G828">
        <v>41.8</v>
      </c>
      <c r="H828">
        <v>12826</v>
      </c>
      <c r="I828">
        <v>340606</v>
      </c>
      <c r="J828">
        <v>19859</v>
      </c>
      <c r="K828">
        <v>13035</v>
      </c>
      <c r="L828">
        <v>270</v>
      </c>
      <c r="M828">
        <v>456487</v>
      </c>
      <c r="N828">
        <v>395656</v>
      </c>
      <c r="O828">
        <v>494</v>
      </c>
      <c r="P828">
        <v>1834610</v>
      </c>
      <c r="Q828">
        <v>5.24</v>
      </c>
      <c r="R828">
        <v>19447938</v>
      </c>
      <c r="S828">
        <v>38768867</v>
      </c>
      <c r="T828">
        <v>396605</v>
      </c>
      <c r="U828">
        <v>27.19</v>
      </c>
      <c r="V828">
        <v>5.99</v>
      </c>
      <c r="W828">
        <v>361</v>
      </c>
      <c r="X828">
        <v>3.45</v>
      </c>
      <c r="Y828">
        <v>57.39</v>
      </c>
    </row>
    <row r="829" spans="1:25" x14ac:dyDescent="0.3">
      <c r="A829" t="s">
        <v>26</v>
      </c>
      <c r="B829" t="s">
        <v>34</v>
      </c>
      <c r="C829" t="s">
        <v>38</v>
      </c>
      <c r="D829" s="1">
        <v>45024</v>
      </c>
      <c r="E829">
        <v>8868352</v>
      </c>
      <c r="F829">
        <v>16625</v>
      </c>
      <c r="G829">
        <v>18.8</v>
      </c>
      <c r="H829">
        <v>14890</v>
      </c>
      <c r="I829">
        <v>638684</v>
      </c>
      <c r="J829">
        <v>11345</v>
      </c>
      <c r="K829">
        <v>9290</v>
      </c>
      <c r="L829">
        <v>1083</v>
      </c>
      <c r="M829">
        <v>125426</v>
      </c>
      <c r="N829">
        <v>222887</v>
      </c>
      <c r="O829">
        <v>6560</v>
      </c>
      <c r="P829">
        <v>1433901</v>
      </c>
      <c r="Q829">
        <v>9.76</v>
      </c>
      <c r="R829">
        <v>21879299</v>
      </c>
      <c r="S829">
        <v>24474184</v>
      </c>
      <c r="T829">
        <v>22138201</v>
      </c>
      <c r="U829">
        <v>50.98</v>
      </c>
      <c r="V829">
        <v>4.67</v>
      </c>
      <c r="W829">
        <v>1006</v>
      </c>
      <c r="X829">
        <v>4.82</v>
      </c>
      <c r="Y829">
        <v>12.78</v>
      </c>
    </row>
    <row r="830" spans="1:25" x14ac:dyDescent="0.3">
      <c r="A830" t="s">
        <v>28</v>
      </c>
      <c r="B830" t="s">
        <v>35</v>
      </c>
      <c r="C830" t="s">
        <v>40</v>
      </c>
      <c r="D830" s="1">
        <v>45025</v>
      </c>
      <c r="E830">
        <v>42995479</v>
      </c>
      <c r="F830">
        <v>13454</v>
      </c>
      <c r="G830">
        <v>29.4</v>
      </c>
      <c r="H830">
        <v>59031</v>
      </c>
      <c r="I830">
        <v>360181</v>
      </c>
      <c r="J830">
        <v>34077</v>
      </c>
      <c r="K830">
        <v>36961</v>
      </c>
      <c r="L830">
        <v>1319</v>
      </c>
      <c r="M830">
        <v>81647</v>
      </c>
      <c r="N830">
        <v>486725</v>
      </c>
      <c r="O830">
        <v>5510</v>
      </c>
      <c r="P830">
        <v>253051</v>
      </c>
      <c r="Q830">
        <v>5.98</v>
      </c>
      <c r="R830">
        <v>18548187</v>
      </c>
      <c r="S830">
        <v>2817422</v>
      </c>
      <c r="T830">
        <v>7464567</v>
      </c>
      <c r="U830">
        <v>17.55</v>
      </c>
      <c r="V830">
        <v>0.66</v>
      </c>
      <c r="W830">
        <v>4133</v>
      </c>
      <c r="X830">
        <v>1.57</v>
      </c>
      <c r="Y830">
        <v>35.28</v>
      </c>
    </row>
    <row r="831" spans="1:25" x14ac:dyDescent="0.3">
      <c r="A831" t="s">
        <v>28</v>
      </c>
      <c r="B831" t="s">
        <v>33</v>
      </c>
      <c r="C831" t="s">
        <v>39</v>
      </c>
      <c r="D831" s="1">
        <v>45026</v>
      </c>
      <c r="E831">
        <v>21419751</v>
      </c>
      <c r="F831">
        <v>911</v>
      </c>
      <c r="G831">
        <v>43</v>
      </c>
      <c r="H831">
        <v>6495</v>
      </c>
      <c r="I831">
        <v>96310</v>
      </c>
      <c r="J831">
        <v>864</v>
      </c>
      <c r="K831">
        <v>11361</v>
      </c>
      <c r="L831">
        <v>1490</v>
      </c>
      <c r="M831">
        <v>310779</v>
      </c>
      <c r="N831">
        <v>38157</v>
      </c>
      <c r="O831">
        <v>3444</v>
      </c>
      <c r="P831">
        <v>1151187</v>
      </c>
      <c r="Q831">
        <v>19.010000000000002</v>
      </c>
      <c r="R831">
        <v>23092486</v>
      </c>
      <c r="S831">
        <v>33604307</v>
      </c>
      <c r="T831">
        <v>16000242</v>
      </c>
      <c r="U831">
        <v>80.62</v>
      </c>
      <c r="V831">
        <v>9.94</v>
      </c>
      <c r="W831">
        <v>4902</v>
      </c>
      <c r="X831">
        <v>4.32</v>
      </c>
      <c r="Y831">
        <v>54.7</v>
      </c>
    </row>
    <row r="832" spans="1:25" x14ac:dyDescent="0.3">
      <c r="A832" t="s">
        <v>26</v>
      </c>
      <c r="B832" t="s">
        <v>33</v>
      </c>
      <c r="C832" t="s">
        <v>37</v>
      </c>
      <c r="D832" s="1">
        <v>45027</v>
      </c>
      <c r="E832">
        <v>17550668</v>
      </c>
      <c r="F832">
        <v>9325</v>
      </c>
      <c r="G832">
        <v>36</v>
      </c>
      <c r="H832">
        <v>29481</v>
      </c>
      <c r="I832">
        <v>157080</v>
      </c>
      <c r="J832">
        <v>12055</v>
      </c>
      <c r="K832">
        <v>49874</v>
      </c>
      <c r="L832">
        <v>1258</v>
      </c>
      <c r="M832">
        <v>543987</v>
      </c>
      <c r="N832">
        <v>393913</v>
      </c>
      <c r="O832">
        <v>9267</v>
      </c>
      <c r="P832">
        <v>1631910</v>
      </c>
      <c r="Q832">
        <v>17.07</v>
      </c>
      <c r="R832">
        <v>18816458</v>
      </c>
      <c r="S832">
        <v>12394715</v>
      </c>
      <c r="T832">
        <v>10029953</v>
      </c>
      <c r="U832">
        <v>88.84</v>
      </c>
      <c r="V832">
        <v>5.66</v>
      </c>
      <c r="W832">
        <v>2562</v>
      </c>
      <c r="X832">
        <v>4.67</v>
      </c>
      <c r="Y832">
        <v>53.29</v>
      </c>
    </row>
    <row r="833" spans="1:25" x14ac:dyDescent="0.3">
      <c r="A833" t="s">
        <v>31</v>
      </c>
      <c r="B833" t="s">
        <v>34</v>
      </c>
      <c r="C833" t="s">
        <v>39</v>
      </c>
      <c r="D833" s="1">
        <v>45028</v>
      </c>
      <c r="E833">
        <v>32198133</v>
      </c>
      <c r="F833">
        <v>17083</v>
      </c>
      <c r="G833">
        <v>26.4</v>
      </c>
      <c r="H833">
        <v>12267</v>
      </c>
      <c r="I833">
        <v>312072</v>
      </c>
      <c r="J833">
        <v>38157</v>
      </c>
      <c r="K833">
        <v>38101</v>
      </c>
      <c r="L833">
        <v>676</v>
      </c>
      <c r="M833">
        <v>888515</v>
      </c>
      <c r="N833">
        <v>189160</v>
      </c>
      <c r="O833">
        <v>7543</v>
      </c>
      <c r="P833">
        <v>1824332</v>
      </c>
      <c r="Q833">
        <v>11.48</v>
      </c>
      <c r="R833">
        <v>10934807</v>
      </c>
      <c r="S833">
        <v>16604920</v>
      </c>
      <c r="T833">
        <v>4793480</v>
      </c>
      <c r="U833">
        <v>85.13</v>
      </c>
      <c r="V833">
        <v>5</v>
      </c>
      <c r="W833">
        <v>1313</v>
      </c>
      <c r="X833">
        <v>3.76</v>
      </c>
      <c r="Y833">
        <v>3.55</v>
      </c>
    </row>
    <row r="834" spans="1:25" x14ac:dyDescent="0.3">
      <c r="A834" t="s">
        <v>29</v>
      </c>
      <c r="B834" t="s">
        <v>32</v>
      </c>
      <c r="C834" t="s">
        <v>37</v>
      </c>
      <c r="D834" s="1">
        <v>45029</v>
      </c>
      <c r="E834">
        <v>26444707</v>
      </c>
      <c r="F834">
        <v>4184</v>
      </c>
      <c r="G834">
        <v>40.200000000000003</v>
      </c>
      <c r="H834">
        <v>7743</v>
      </c>
      <c r="I834">
        <v>739456</v>
      </c>
      <c r="J834">
        <v>19747</v>
      </c>
      <c r="K834">
        <v>45666</v>
      </c>
      <c r="L834">
        <v>705</v>
      </c>
      <c r="M834">
        <v>183708</v>
      </c>
      <c r="N834">
        <v>94755</v>
      </c>
      <c r="O834">
        <v>7562</v>
      </c>
      <c r="P834">
        <v>17488</v>
      </c>
      <c r="Q834">
        <v>9.77</v>
      </c>
      <c r="R834">
        <v>29261802</v>
      </c>
      <c r="S834">
        <v>38176842</v>
      </c>
      <c r="T834">
        <v>13183222</v>
      </c>
      <c r="U834">
        <v>43.34</v>
      </c>
      <c r="V834">
        <v>9.57</v>
      </c>
      <c r="W834">
        <v>2797</v>
      </c>
      <c r="X834">
        <v>1.23</v>
      </c>
      <c r="Y834">
        <v>95.08</v>
      </c>
    </row>
    <row r="835" spans="1:25" x14ac:dyDescent="0.3">
      <c r="A835" t="s">
        <v>25</v>
      </c>
      <c r="B835" t="s">
        <v>36</v>
      </c>
      <c r="C835" t="s">
        <v>39</v>
      </c>
      <c r="D835" s="1">
        <v>45030</v>
      </c>
      <c r="E835">
        <v>38425479</v>
      </c>
      <c r="F835">
        <v>11853</v>
      </c>
      <c r="G835">
        <v>36.200000000000003</v>
      </c>
      <c r="H835">
        <v>55800</v>
      </c>
      <c r="I835">
        <v>90876</v>
      </c>
      <c r="J835">
        <v>44484</v>
      </c>
      <c r="K835">
        <v>30181</v>
      </c>
      <c r="L835">
        <v>233</v>
      </c>
      <c r="M835">
        <v>879222</v>
      </c>
      <c r="N835">
        <v>277269</v>
      </c>
      <c r="O835">
        <v>3994</v>
      </c>
      <c r="P835">
        <v>1239489</v>
      </c>
      <c r="Q835">
        <v>7.13</v>
      </c>
      <c r="R835">
        <v>26296073</v>
      </c>
      <c r="S835">
        <v>8844905</v>
      </c>
      <c r="T835">
        <v>20514860</v>
      </c>
      <c r="U835">
        <v>75.87</v>
      </c>
      <c r="V835">
        <v>1.98</v>
      </c>
      <c r="W835">
        <v>2832</v>
      </c>
      <c r="X835">
        <v>1.74</v>
      </c>
      <c r="Y835">
        <v>27.54</v>
      </c>
    </row>
    <row r="836" spans="1:25" x14ac:dyDescent="0.3">
      <c r="A836" t="s">
        <v>31</v>
      </c>
      <c r="B836" t="s">
        <v>32</v>
      </c>
      <c r="C836" t="s">
        <v>41</v>
      </c>
      <c r="D836" s="1">
        <v>45031</v>
      </c>
      <c r="E836">
        <v>14221794</v>
      </c>
      <c r="F836">
        <v>15458</v>
      </c>
      <c r="G836">
        <v>43.5</v>
      </c>
      <c r="H836">
        <v>49773</v>
      </c>
      <c r="I836">
        <v>550264</v>
      </c>
      <c r="J836">
        <v>11978</v>
      </c>
      <c r="K836">
        <v>3654</v>
      </c>
      <c r="L836">
        <v>1391</v>
      </c>
      <c r="M836">
        <v>430291</v>
      </c>
      <c r="N836">
        <v>269389</v>
      </c>
      <c r="O836">
        <v>7253</v>
      </c>
      <c r="P836">
        <v>381665</v>
      </c>
      <c r="Q836">
        <v>16.059999999999999</v>
      </c>
      <c r="R836">
        <v>47762148</v>
      </c>
      <c r="S836">
        <v>19427463</v>
      </c>
      <c r="T836">
        <v>23775889</v>
      </c>
      <c r="U836">
        <v>9.76</v>
      </c>
      <c r="V836">
        <v>2.2999999999999998</v>
      </c>
      <c r="W836">
        <v>1143</v>
      </c>
      <c r="X836">
        <v>0.28000000000000003</v>
      </c>
      <c r="Y836">
        <v>1.62</v>
      </c>
    </row>
    <row r="837" spans="1:25" x14ac:dyDescent="0.3">
      <c r="A837" t="s">
        <v>31</v>
      </c>
      <c r="B837" t="s">
        <v>35</v>
      </c>
      <c r="C837" t="s">
        <v>37</v>
      </c>
      <c r="D837" s="1">
        <v>45032</v>
      </c>
      <c r="E837">
        <v>30609596</v>
      </c>
      <c r="F837">
        <v>17470</v>
      </c>
      <c r="G837">
        <v>41.5</v>
      </c>
      <c r="H837">
        <v>58042</v>
      </c>
      <c r="I837">
        <v>770302</v>
      </c>
      <c r="J837">
        <v>24599</v>
      </c>
      <c r="K837">
        <v>16152</v>
      </c>
      <c r="L837">
        <v>1718</v>
      </c>
      <c r="M837">
        <v>221368</v>
      </c>
      <c r="N837">
        <v>101306</v>
      </c>
      <c r="O837">
        <v>45</v>
      </c>
      <c r="P837">
        <v>1967475</v>
      </c>
      <c r="Q837">
        <v>27.57</v>
      </c>
      <c r="R837">
        <v>39932684</v>
      </c>
      <c r="S837">
        <v>12367945</v>
      </c>
      <c r="T837">
        <v>16710511</v>
      </c>
      <c r="U837">
        <v>4.0199999999999996</v>
      </c>
      <c r="V837">
        <v>8.18</v>
      </c>
      <c r="W837">
        <v>2836</v>
      </c>
      <c r="X837">
        <v>4.17</v>
      </c>
      <c r="Y837">
        <v>7.64</v>
      </c>
    </row>
    <row r="838" spans="1:25" x14ac:dyDescent="0.3">
      <c r="A838" t="s">
        <v>30</v>
      </c>
      <c r="B838" t="s">
        <v>33</v>
      </c>
      <c r="C838" t="s">
        <v>39</v>
      </c>
      <c r="D838" s="1">
        <v>45033</v>
      </c>
      <c r="E838">
        <v>41239304</v>
      </c>
      <c r="F838">
        <v>16401</v>
      </c>
      <c r="G838">
        <v>37.5</v>
      </c>
      <c r="H838">
        <v>50476</v>
      </c>
      <c r="I838">
        <v>388128</v>
      </c>
      <c r="J838">
        <v>35771</v>
      </c>
      <c r="K838">
        <v>7783</v>
      </c>
      <c r="L838">
        <v>844</v>
      </c>
      <c r="M838">
        <v>121287</v>
      </c>
      <c r="N838">
        <v>186969</v>
      </c>
      <c r="O838">
        <v>2057</v>
      </c>
      <c r="P838">
        <v>709029</v>
      </c>
      <c r="Q838">
        <v>20.57</v>
      </c>
      <c r="R838">
        <v>9473660</v>
      </c>
      <c r="S838">
        <v>1117201</v>
      </c>
      <c r="T838">
        <v>15896239</v>
      </c>
      <c r="U838">
        <v>75.319999999999993</v>
      </c>
      <c r="V838">
        <v>2.98</v>
      </c>
      <c r="W838">
        <v>2865</v>
      </c>
      <c r="X838">
        <v>4.26</v>
      </c>
      <c r="Y838">
        <v>58.02</v>
      </c>
    </row>
    <row r="839" spans="1:25" x14ac:dyDescent="0.3">
      <c r="A839" t="s">
        <v>25</v>
      </c>
      <c r="B839" t="s">
        <v>34</v>
      </c>
      <c r="C839" t="s">
        <v>40</v>
      </c>
      <c r="D839" s="1">
        <v>45034</v>
      </c>
      <c r="E839">
        <v>41481729</v>
      </c>
      <c r="F839">
        <v>4181</v>
      </c>
      <c r="G839">
        <v>33.6</v>
      </c>
      <c r="H839">
        <v>29552</v>
      </c>
      <c r="I839">
        <v>683986</v>
      </c>
      <c r="J839">
        <v>46942</v>
      </c>
      <c r="K839">
        <v>28476</v>
      </c>
      <c r="L839">
        <v>1255</v>
      </c>
      <c r="M839">
        <v>114927</v>
      </c>
      <c r="N839">
        <v>303967</v>
      </c>
      <c r="O839">
        <v>663</v>
      </c>
      <c r="P839">
        <v>667205</v>
      </c>
      <c r="Q839">
        <v>22.33</v>
      </c>
      <c r="R839">
        <v>48129707</v>
      </c>
      <c r="S839">
        <v>8707069</v>
      </c>
      <c r="T839">
        <v>7934968</v>
      </c>
      <c r="U839">
        <v>42.54</v>
      </c>
      <c r="V839">
        <v>8.09</v>
      </c>
      <c r="W839">
        <v>3813</v>
      </c>
      <c r="X839">
        <v>3.2</v>
      </c>
      <c r="Y839">
        <v>13.78</v>
      </c>
    </row>
    <row r="840" spans="1:25" x14ac:dyDescent="0.3">
      <c r="A840" t="s">
        <v>25</v>
      </c>
      <c r="B840" t="s">
        <v>34</v>
      </c>
      <c r="C840" t="s">
        <v>41</v>
      </c>
      <c r="D840" s="1">
        <v>45035</v>
      </c>
      <c r="E840">
        <v>20475372</v>
      </c>
      <c r="F840">
        <v>18582</v>
      </c>
      <c r="G840">
        <v>22.3</v>
      </c>
      <c r="H840">
        <v>66242</v>
      </c>
      <c r="I840">
        <v>361400</v>
      </c>
      <c r="J840">
        <v>46540</v>
      </c>
      <c r="K840">
        <v>10788</v>
      </c>
      <c r="L840">
        <v>1896</v>
      </c>
      <c r="M840">
        <v>148563</v>
      </c>
      <c r="N840">
        <v>73330</v>
      </c>
      <c r="O840">
        <v>4668</v>
      </c>
      <c r="P840">
        <v>1740995</v>
      </c>
      <c r="Q840">
        <v>25.03</v>
      </c>
      <c r="R840">
        <v>48891625</v>
      </c>
      <c r="S840">
        <v>36084778</v>
      </c>
      <c r="T840">
        <v>13275944</v>
      </c>
      <c r="U840">
        <v>99.55</v>
      </c>
      <c r="V840">
        <v>3.08</v>
      </c>
      <c r="W840">
        <v>4085</v>
      </c>
      <c r="X840">
        <v>1.83</v>
      </c>
      <c r="Y840">
        <v>4.17</v>
      </c>
    </row>
    <row r="841" spans="1:25" x14ac:dyDescent="0.3">
      <c r="A841" t="s">
        <v>31</v>
      </c>
      <c r="B841" t="s">
        <v>36</v>
      </c>
      <c r="C841" t="s">
        <v>41</v>
      </c>
      <c r="D841" s="1">
        <v>45036</v>
      </c>
      <c r="E841">
        <v>22231798</v>
      </c>
      <c r="F841">
        <v>12107</v>
      </c>
      <c r="G841">
        <v>26.4</v>
      </c>
      <c r="H841">
        <v>46772</v>
      </c>
      <c r="I841">
        <v>363681</v>
      </c>
      <c r="J841">
        <v>17615</v>
      </c>
      <c r="K841">
        <v>12511</v>
      </c>
      <c r="L841">
        <v>490</v>
      </c>
      <c r="M841">
        <v>678413</v>
      </c>
      <c r="N841">
        <v>398146</v>
      </c>
      <c r="O841">
        <v>2029</v>
      </c>
      <c r="P841">
        <v>1067970</v>
      </c>
      <c r="Q841">
        <v>10.55</v>
      </c>
      <c r="R841">
        <v>18003858</v>
      </c>
      <c r="S841">
        <v>39075889</v>
      </c>
      <c r="T841">
        <v>8106954</v>
      </c>
      <c r="U841">
        <v>9.73</v>
      </c>
      <c r="V841">
        <v>0.82</v>
      </c>
      <c r="W841">
        <v>4889</v>
      </c>
      <c r="X841">
        <v>0.48</v>
      </c>
      <c r="Y841">
        <v>37.96</v>
      </c>
    </row>
    <row r="842" spans="1:25" x14ac:dyDescent="0.3">
      <c r="A842" t="s">
        <v>27</v>
      </c>
      <c r="B842" t="s">
        <v>32</v>
      </c>
      <c r="C842" t="s">
        <v>40</v>
      </c>
      <c r="D842" s="1">
        <v>45037</v>
      </c>
      <c r="E842">
        <v>47613433</v>
      </c>
      <c r="F842">
        <v>11399</v>
      </c>
      <c r="G842">
        <v>31.4</v>
      </c>
      <c r="H842">
        <v>44730</v>
      </c>
      <c r="I842">
        <v>191861</v>
      </c>
      <c r="J842">
        <v>40727</v>
      </c>
      <c r="K842">
        <v>47187</v>
      </c>
      <c r="L842">
        <v>1642</v>
      </c>
      <c r="M842">
        <v>221282</v>
      </c>
      <c r="N842">
        <v>155102</v>
      </c>
      <c r="O842">
        <v>5717</v>
      </c>
      <c r="P842">
        <v>881425</v>
      </c>
      <c r="Q842">
        <v>1.89</v>
      </c>
      <c r="R842">
        <v>27194802</v>
      </c>
      <c r="S842">
        <v>32539138</v>
      </c>
      <c r="T842">
        <v>4719704</v>
      </c>
      <c r="U842">
        <v>85.56</v>
      </c>
      <c r="V842">
        <v>5.41</v>
      </c>
      <c r="W842">
        <v>2373</v>
      </c>
      <c r="X842">
        <v>3.79</v>
      </c>
      <c r="Y842">
        <v>62.28</v>
      </c>
    </row>
    <row r="843" spans="1:25" x14ac:dyDescent="0.3">
      <c r="A843" t="s">
        <v>30</v>
      </c>
      <c r="B843" t="s">
        <v>36</v>
      </c>
      <c r="C843" t="s">
        <v>39</v>
      </c>
      <c r="D843" s="1">
        <v>45038</v>
      </c>
      <c r="E843">
        <v>18039587</v>
      </c>
      <c r="F843">
        <v>11536</v>
      </c>
      <c r="G843">
        <v>37.200000000000003</v>
      </c>
      <c r="H843">
        <v>29948</v>
      </c>
      <c r="I843">
        <v>923204</v>
      </c>
      <c r="J843">
        <v>44748</v>
      </c>
      <c r="K843">
        <v>2118</v>
      </c>
      <c r="L843">
        <v>502</v>
      </c>
      <c r="M843">
        <v>612281</v>
      </c>
      <c r="N843">
        <v>417068</v>
      </c>
      <c r="O843">
        <v>2696</v>
      </c>
      <c r="P843">
        <v>1226554</v>
      </c>
      <c r="Q843">
        <v>18.68</v>
      </c>
      <c r="R843">
        <v>47987986</v>
      </c>
      <c r="S843">
        <v>1649383</v>
      </c>
      <c r="T843">
        <v>25070297</v>
      </c>
      <c r="U843">
        <v>48</v>
      </c>
      <c r="V843">
        <v>2.37</v>
      </c>
      <c r="W843">
        <v>282</v>
      </c>
      <c r="X843">
        <v>3.66</v>
      </c>
      <c r="Y843">
        <v>11.18</v>
      </c>
    </row>
    <row r="844" spans="1:25" x14ac:dyDescent="0.3">
      <c r="A844" t="s">
        <v>30</v>
      </c>
      <c r="B844" t="s">
        <v>33</v>
      </c>
      <c r="C844" t="s">
        <v>38</v>
      </c>
      <c r="D844" s="1">
        <v>45039</v>
      </c>
      <c r="E844">
        <v>20535161</v>
      </c>
      <c r="F844">
        <v>5507</v>
      </c>
      <c r="G844">
        <v>34.4</v>
      </c>
      <c r="H844">
        <v>17535</v>
      </c>
      <c r="I844">
        <v>634619</v>
      </c>
      <c r="J844">
        <v>39349</v>
      </c>
      <c r="K844">
        <v>29379</v>
      </c>
      <c r="L844">
        <v>889</v>
      </c>
      <c r="M844">
        <v>489133</v>
      </c>
      <c r="N844">
        <v>108238</v>
      </c>
      <c r="O844">
        <v>8831</v>
      </c>
      <c r="P844">
        <v>1108908</v>
      </c>
      <c r="Q844">
        <v>5.66</v>
      </c>
      <c r="R844">
        <v>39201493</v>
      </c>
      <c r="S844">
        <v>13347546</v>
      </c>
      <c r="T844">
        <v>8879100</v>
      </c>
      <c r="U844">
        <v>82.72</v>
      </c>
      <c r="V844">
        <v>7.7</v>
      </c>
      <c r="W844">
        <v>2151</v>
      </c>
      <c r="X844">
        <v>4.57</v>
      </c>
      <c r="Y844">
        <v>31.33</v>
      </c>
    </row>
    <row r="845" spans="1:25" x14ac:dyDescent="0.3">
      <c r="A845" t="s">
        <v>28</v>
      </c>
      <c r="B845" t="s">
        <v>36</v>
      </c>
      <c r="C845" t="s">
        <v>40</v>
      </c>
      <c r="D845" s="1">
        <v>45040</v>
      </c>
      <c r="E845">
        <v>25556359</v>
      </c>
      <c r="F845">
        <v>6129</v>
      </c>
      <c r="G845">
        <v>27.2</v>
      </c>
      <c r="H845">
        <v>67490</v>
      </c>
      <c r="I845">
        <v>720005</v>
      </c>
      <c r="J845">
        <v>29377</v>
      </c>
      <c r="K845">
        <v>36392</v>
      </c>
      <c r="L845">
        <v>1758</v>
      </c>
      <c r="M845">
        <v>799703</v>
      </c>
      <c r="N845">
        <v>207197</v>
      </c>
      <c r="O845">
        <v>2663</v>
      </c>
      <c r="P845">
        <v>1217953</v>
      </c>
      <c r="Q845">
        <v>17.07</v>
      </c>
      <c r="R845">
        <v>37645230</v>
      </c>
      <c r="S845">
        <v>16558650</v>
      </c>
      <c r="T845">
        <v>16210873</v>
      </c>
      <c r="U845">
        <v>81.709999999999994</v>
      </c>
      <c r="V845">
        <v>6.59</v>
      </c>
      <c r="W845">
        <v>4402</v>
      </c>
      <c r="X845">
        <v>3.68</v>
      </c>
      <c r="Y845">
        <v>41.78</v>
      </c>
    </row>
    <row r="846" spans="1:25" x14ac:dyDescent="0.3">
      <c r="A846" t="s">
        <v>25</v>
      </c>
      <c r="B846" t="s">
        <v>34</v>
      </c>
      <c r="C846" t="s">
        <v>39</v>
      </c>
      <c r="D846" s="1">
        <v>45041</v>
      </c>
      <c r="E846">
        <v>22938280</v>
      </c>
      <c r="F846">
        <v>12503</v>
      </c>
      <c r="G846">
        <v>18.2</v>
      </c>
      <c r="H846">
        <v>47562</v>
      </c>
      <c r="I846">
        <v>252666</v>
      </c>
      <c r="J846">
        <v>30031</v>
      </c>
      <c r="K846">
        <v>25828</v>
      </c>
      <c r="L846">
        <v>591</v>
      </c>
      <c r="M846">
        <v>126107</v>
      </c>
      <c r="N846">
        <v>491544</v>
      </c>
      <c r="O846">
        <v>2745</v>
      </c>
      <c r="P846">
        <v>1092204</v>
      </c>
      <c r="Q846">
        <v>22.19</v>
      </c>
      <c r="R846">
        <v>34393060</v>
      </c>
      <c r="S846">
        <v>2227995</v>
      </c>
      <c r="T846">
        <v>12369123</v>
      </c>
      <c r="U846">
        <v>91.6</v>
      </c>
      <c r="V846">
        <v>9.27</v>
      </c>
      <c r="W846">
        <v>2078</v>
      </c>
      <c r="X846">
        <v>4.16</v>
      </c>
      <c r="Y846">
        <v>15.95</v>
      </c>
    </row>
    <row r="847" spans="1:25" x14ac:dyDescent="0.3">
      <c r="A847" t="s">
        <v>31</v>
      </c>
      <c r="B847" t="s">
        <v>34</v>
      </c>
      <c r="C847" t="s">
        <v>40</v>
      </c>
      <c r="D847" s="1">
        <v>45042</v>
      </c>
      <c r="E847">
        <v>21046166</v>
      </c>
      <c r="F847">
        <v>18864</v>
      </c>
      <c r="G847">
        <v>33.9</v>
      </c>
      <c r="H847">
        <v>59535</v>
      </c>
      <c r="I847">
        <v>991900</v>
      </c>
      <c r="J847">
        <v>49573</v>
      </c>
      <c r="K847">
        <v>10261</v>
      </c>
      <c r="L847">
        <v>745</v>
      </c>
      <c r="M847">
        <v>771622</v>
      </c>
      <c r="N847">
        <v>212476</v>
      </c>
      <c r="O847">
        <v>5004</v>
      </c>
      <c r="P847">
        <v>808784</v>
      </c>
      <c r="Q847">
        <v>23.51</v>
      </c>
      <c r="R847">
        <v>34963831</v>
      </c>
      <c r="S847">
        <v>632621</v>
      </c>
      <c r="T847">
        <v>4269865</v>
      </c>
      <c r="U847">
        <v>29.79</v>
      </c>
      <c r="V847">
        <v>7.94</v>
      </c>
      <c r="W847">
        <v>1979</v>
      </c>
      <c r="X847">
        <v>3.76</v>
      </c>
      <c r="Y847">
        <v>50.61</v>
      </c>
    </row>
    <row r="848" spans="1:25" x14ac:dyDescent="0.3">
      <c r="A848" t="s">
        <v>28</v>
      </c>
      <c r="B848" t="s">
        <v>35</v>
      </c>
      <c r="C848" t="s">
        <v>40</v>
      </c>
      <c r="D848" s="1">
        <v>45043</v>
      </c>
      <c r="E848">
        <v>17420196</v>
      </c>
      <c r="F848">
        <v>18313</v>
      </c>
      <c r="G848">
        <v>27.1</v>
      </c>
      <c r="H848">
        <v>42269</v>
      </c>
      <c r="I848">
        <v>270670</v>
      </c>
      <c r="J848">
        <v>42733</v>
      </c>
      <c r="K848">
        <v>23351</v>
      </c>
      <c r="L848">
        <v>1404</v>
      </c>
      <c r="M848">
        <v>80376</v>
      </c>
      <c r="N848">
        <v>62140</v>
      </c>
      <c r="O848">
        <v>6321</v>
      </c>
      <c r="P848">
        <v>1529474</v>
      </c>
      <c r="Q848">
        <v>9.06</v>
      </c>
      <c r="R848">
        <v>47365277</v>
      </c>
      <c r="S848">
        <v>2036287</v>
      </c>
      <c r="T848">
        <v>15893794</v>
      </c>
      <c r="U848">
        <v>94.98</v>
      </c>
      <c r="V848">
        <v>2.2200000000000002</v>
      </c>
      <c r="W848">
        <v>1508</v>
      </c>
      <c r="X848">
        <v>3.19</v>
      </c>
      <c r="Y848">
        <v>8.52</v>
      </c>
    </row>
    <row r="849" spans="1:25" x14ac:dyDescent="0.3">
      <c r="A849" t="s">
        <v>26</v>
      </c>
      <c r="B849" t="s">
        <v>35</v>
      </c>
      <c r="C849" t="s">
        <v>37</v>
      </c>
      <c r="D849" s="1">
        <v>45044</v>
      </c>
      <c r="E849">
        <v>30362495</v>
      </c>
      <c r="F849">
        <v>12208</v>
      </c>
      <c r="G849">
        <v>41.5</v>
      </c>
      <c r="H849">
        <v>43462</v>
      </c>
      <c r="I849">
        <v>629151</v>
      </c>
      <c r="J849">
        <v>11760</v>
      </c>
      <c r="K849">
        <v>11688</v>
      </c>
      <c r="L849">
        <v>1719</v>
      </c>
      <c r="M849">
        <v>492608</v>
      </c>
      <c r="N849">
        <v>108768</v>
      </c>
      <c r="O849">
        <v>5125</v>
      </c>
      <c r="P849">
        <v>870403</v>
      </c>
      <c r="Q849">
        <v>15.37</v>
      </c>
      <c r="R849">
        <v>36568877</v>
      </c>
      <c r="S849">
        <v>8543813</v>
      </c>
      <c r="T849">
        <v>4836773</v>
      </c>
      <c r="U849">
        <v>15.17</v>
      </c>
      <c r="V849">
        <v>8.1</v>
      </c>
      <c r="W849">
        <v>1698</v>
      </c>
      <c r="X849">
        <v>2.19</v>
      </c>
      <c r="Y849">
        <v>4.6500000000000004</v>
      </c>
    </row>
    <row r="850" spans="1:25" x14ac:dyDescent="0.3">
      <c r="A850" t="s">
        <v>29</v>
      </c>
      <c r="B850" t="s">
        <v>33</v>
      </c>
      <c r="C850" t="s">
        <v>39</v>
      </c>
      <c r="D850" s="1">
        <v>45045</v>
      </c>
      <c r="E850">
        <v>44877043</v>
      </c>
      <c r="F850">
        <v>15785</v>
      </c>
      <c r="G850">
        <v>18.8</v>
      </c>
      <c r="H850">
        <v>4127</v>
      </c>
      <c r="I850">
        <v>958004</v>
      </c>
      <c r="J850">
        <v>47690</v>
      </c>
      <c r="K850">
        <v>14377</v>
      </c>
      <c r="L850">
        <v>427</v>
      </c>
      <c r="M850">
        <v>167571</v>
      </c>
      <c r="N850">
        <v>198868</v>
      </c>
      <c r="O850">
        <v>4948</v>
      </c>
      <c r="P850">
        <v>1101569</v>
      </c>
      <c r="Q850">
        <v>18.63</v>
      </c>
      <c r="R850">
        <v>20109515</v>
      </c>
      <c r="S850">
        <v>17300782</v>
      </c>
      <c r="T850">
        <v>4779074</v>
      </c>
      <c r="U850">
        <v>8.1999999999999993</v>
      </c>
      <c r="V850">
        <v>6.6</v>
      </c>
      <c r="W850">
        <v>457</v>
      </c>
      <c r="X850">
        <v>4.5199999999999996</v>
      </c>
      <c r="Y850">
        <v>51.98</v>
      </c>
    </row>
    <row r="851" spans="1:25" x14ac:dyDescent="0.3">
      <c r="A851" t="s">
        <v>30</v>
      </c>
      <c r="B851" t="s">
        <v>32</v>
      </c>
      <c r="C851" t="s">
        <v>38</v>
      </c>
      <c r="D851" s="1">
        <v>45046</v>
      </c>
      <c r="E851">
        <v>17534570</v>
      </c>
      <c r="F851">
        <v>15880</v>
      </c>
      <c r="G851">
        <v>36.700000000000003</v>
      </c>
      <c r="H851">
        <v>24147</v>
      </c>
      <c r="I851">
        <v>200121</v>
      </c>
      <c r="J851">
        <v>33714</v>
      </c>
      <c r="K851">
        <v>29682</v>
      </c>
      <c r="L851">
        <v>696</v>
      </c>
      <c r="M851">
        <v>727747</v>
      </c>
      <c r="N851">
        <v>457964</v>
      </c>
      <c r="O851">
        <v>4402</v>
      </c>
      <c r="P851">
        <v>1220034</v>
      </c>
      <c r="Q851">
        <v>24.58</v>
      </c>
      <c r="R851">
        <v>41050772</v>
      </c>
      <c r="S851">
        <v>24225993</v>
      </c>
      <c r="T851">
        <v>14234874</v>
      </c>
      <c r="U851">
        <v>43.16</v>
      </c>
      <c r="V851">
        <v>6.86</v>
      </c>
      <c r="W851">
        <v>3390</v>
      </c>
      <c r="X851">
        <v>3.29</v>
      </c>
      <c r="Y851">
        <v>24.79</v>
      </c>
    </row>
    <row r="852" spans="1:25" x14ac:dyDescent="0.3">
      <c r="A852" t="s">
        <v>26</v>
      </c>
      <c r="B852" t="s">
        <v>36</v>
      </c>
      <c r="C852" t="s">
        <v>37</v>
      </c>
      <c r="D852" s="1">
        <v>45047</v>
      </c>
      <c r="E852">
        <v>41917870</v>
      </c>
      <c r="F852">
        <v>15175</v>
      </c>
      <c r="G852">
        <v>48.1</v>
      </c>
      <c r="H852">
        <v>46528</v>
      </c>
      <c r="I852">
        <v>336510</v>
      </c>
      <c r="J852">
        <v>25762</v>
      </c>
      <c r="K852">
        <v>4342</v>
      </c>
      <c r="L852">
        <v>645</v>
      </c>
      <c r="M852">
        <v>846580</v>
      </c>
      <c r="N852">
        <v>317274</v>
      </c>
      <c r="O852">
        <v>3427</v>
      </c>
      <c r="P852">
        <v>890459</v>
      </c>
      <c r="Q852">
        <v>22.84</v>
      </c>
      <c r="R852">
        <v>13375562</v>
      </c>
      <c r="S852">
        <v>15270302</v>
      </c>
      <c r="T852">
        <v>29764648</v>
      </c>
      <c r="U852">
        <v>82.83</v>
      </c>
      <c r="V852">
        <v>8.41</v>
      </c>
      <c r="W852">
        <v>2027</v>
      </c>
      <c r="X852">
        <v>2.0499999999999998</v>
      </c>
      <c r="Y852">
        <v>9.5399999999999991</v>
      </c>
    </row>
    <row r="853" spans="1:25" x14ac:dyDescent="0.3">
      <c r="A853" t="s">
        <v>26</v>
      </c>
      <c r="B853" t="s">
        <v>33</v>
      </c>
      <c r="C853" t="s">
        <v>40</v>
      </c>
      <c r="D853" s="1">
        <v>45048</v>
      </c>
      <c r="E853">
        <v>49046069</v>
      </c>
      <c r="F853">
        <v>11955</v>
      </c>
      <c r="G853">
        <v>23.6</v>
      </c>
      <c r="H853">
        <v>69931</v>
      </c>
      <c r="I853">
        <v>998821</v>
      </c>
      <c r="J853">
        <v>34332</v>
      </c>
      <c r="K853">
        <v>12012</v>
      </c>
      <c r="L853">
        <v>731</v>
      </c>
      <c r="M853">
        <v>456384</v>
      </c>
      <c r="N853">
        <v>56915</v>
      </c>
      <c r="O853">
        <v>5912</v>
      </c>
      <c r="P853">
        <v>975128</v>
      </c>
      <c r="Q853">
        <v>29.64</v>
      </c>
      <c r="R853">
        <v>124283</v>
      </c>
      <c r="S853">
        <v>14271568</v>
      </c>
      <c r="T853">
        <v>13492322</v>
      </c>
      <c r="U853">
        <v>47.34</v>
      </c>
      <c r="V853">
        <v>5.95</v>
      </c>
      <c r="W853">
        <v>2463</v>
      </c>
      <c r="X853">
        <v>0.51</v>
      </c>
      <c r="Y853">
        <v>42.39</v>
      </c>
    </row>
    <row r="854" spans="1:25" x14ac:dyDescent="0.3">
      <c r="A854" t="s">
        <v>27</v>
      </c>
      <c r="B854" t="s">
        <v>35</v>
      </c>
      <c r="C854" t="s">
        <v>40</v>
      </c>
      <c r="D854" s="1">
        <v>45049</v>
      </c>
      <c r="E854">
        <v>27582984</v>
      </c>
      <c r="F854">
        <v>12348</v>
      </c>
      <c r="G854">
        <v>33.1</v>
      </c>
      <c r="H854">
        <v>67381</v>
      </c>
      <c r="I854">
        <v>453333</v>
      </c>
      <c r="J854">
        <v>40100</v>
      </c>
      <c r="K854">
        <v>20294</v>
      </c>
      <c r="L854">
        <v>799</v>
      </c>
      <c r="M854">
        <v>463090</v>
      </c>
      <c r="N854">
        <v>216841</v>
      </c>
      <c r="O854">
        <v>394</v>
      </c>
      <c r="P854">
        <v>451281</v>
      </c>
      <c r="Q854">
        <v>0.24</v>
      </c>
      <c r="R854">
        <v>38191844</v>
      </c>
      <c r="S854">
        <v>37611406</v>
      </c>
      <c r="T854">
        <v>25222449</v>
      </c>
      <c r="U854">
        <v>82.93</v>
      </c>
      <c r="V854">
        <v>4.93</v>
      </c>
      <c r="W854">
        <v>4987</v>
      </c>
      <c r="X854">
        <v>1.52</v>
      </c>
      <c r="Y854">
        <v>91.51</v>
      </c>
    </row>
    <row r="855" spans="1:25" x14ac:dyDescent="0.3">
      <c r="A855" t="s">
        <v>29</v>
      </c>
      <c r="B855" t="s">
        <v>36</v>
      </c>
      <c r="C855" t="s">
        <v>40</v>
      </c>
      <c r="D855" s="1">
        <v>45050</v>
      </c>
      <c r="E855">
        <v>8472368</v>
      </c>
      <c r="F855">
        <v>2061</v>
      </c>
      <c r="G855">
        <v>20.9</v>
      </c>
      <c r="H855">
        <v>64749</v>
      </c>
      <c r="I855">
        <v>57096</v>
      </c>
      <c r="J855">
        <v>4944</v>
      </c>
      <c r="K855">
        <v>15710</v>
      </c>
      <c r="L855">
        <v>363</v>
      </c>
      <c r="M855">
        <v>461225</v>
      </c>
      <c r="N855">
        <v>112889</v>
      </c>
      <c r="O855">
        <v>3597</v>
      </c>
      <c r="P855">
        <v>907644</v>
      </c>
      <c r="Q855">
        <v>13.12</v>
      </c>
      <c r="R855">
        <v>27493437</v>
      </c>
      <c r="S855">
        <v>22559615</v>
      </c>
      <c r="T855">
        <v>17767271</v>
      </c>
      <c r="U855">
        <v>72.97</v>
      </c>
      <c r="V855">
        <v>6.55</v>
      </c>
      <c r="W855">
        <v>1810</v>
      </c>
      <c r="X855">
        <v>2.76</v>
      </c>
      <c r="Y855">
        <v>72.42</v>
      </c>
    </row>
    <row r="856" spans="1:25" x14ac:dyDescent="0.3">
      <c r="A856" t="s">
        <v>26</v>
      </c>
      <c r="B856" t="s">
        <v>35</v>
      </c>
      <c r="C856" t="s">
        <v>39</v>
      </c>
      <c r="D856" s="1">
        <v>45051</v>
      </c>
      <c r="E856">
        <v>28981082</v>
      </c>
      <c r="F856">
        <v>3423</v>
      </c>
      <c r="G856">
        <v>38</v>
      </c>
      <c r="H856">
        <v>39672</v>
      </c>
      <c r="I856">
        <v>664270</v>
      </c>
      <c r="J856">
        <v>48825</v>
      </c>
      <c r="K856">
        <v>13779</v>
      </c>
      <c r="L856">
        <v>201</v>
      </c>
      <c r="M856">
        <v>244222</v>
      </c>
      <c r="N856">
        <v>429006</v>
      </c>
      <c r="O856">
        <v>329</v>
      </c>
      <c r="P856">
        <v>479720</v>
      </c>
      <c r="Q856">
        <v>7.68</v>
      </c>
      <c r="R856">
        <v>37288505</v>
      </c>
      <c r="S856">
        <v>39362763</v>
      </c>
      <c r="T856">
        <v>26600903</v>
      </c>
      <c r="U856">
        <v>20.94</v>
      </c>
      <c r="V856">
        <v>3.33</v>
      </c>
      <c r="W856">
        <v>3647</v>
      </c>
      <c r="X856">
        <v>1.45</v>
      </c>
      <c r="Y856">
        <v>81.56</v>
      </c>
    </row>
    <row r="857" spans="1:25" x14ac:dyDescent="0.3">
      <c r="A857" t="s">
        <v>26</v>
      </c>
      <c r="B857" t="s">
        <v>36</v>
      </c>
      <c r="C857" t="s">
        <v>39</v>
      </c>
      <c r="D857" s="1">
        <v>45052</v>
      </c>
      <c r="E857">
        <v>30037369</v>
      </c>
      <c r="F857">
        <v>10385</v>
      </c>
      <c r="G857">
        <v>35.6</v>
      </c>
      <c r="H857">
        <v>14731</v>
      </c>
      <c r="I857">
        <v>999887</v>
      </c>
      <c r="J857">
        <v>13877</v>
      </c>
      <c r="K857">
        <v>29328</v>
      </c>
      <c r="L857">
        <v>881</v>
      </c>
      <c r="M857">
        <v>497064</v>
      </c>
      <c r="N857">
        <v>219578</v>
      </c>
      <c r="O857">
        <v>772</v>
      </c>
      <c r="P857">
        <v>507357</v>
      </c>
      <c r="Q857">
        <v>3.6</v>
      </c>
      <c r="R857">
        <v>22885137</v>
      </c>
      <c r="S857">
        <v>15629244</v>
      </c>
      <c r="T857">
        <v>12916302</v>
      </c>
      <c r="U857">
        <v>94.89</v>
      </c>
      <c r="V857">
        <v>2.23</v>
      </c>
      <c r="W857">
        <v>1428</v>
      </c>
      <c r="X857">
        <v>1.18</v>
      </c>
      <c r="Y857">
        <v>87.19</v>
      </c>
    </row>
    <row r="858" spans="1:25" x14ac:dyDescent="0.3">
      <c r="A858" t="s">
        <v>29</v>
      </c>
      <c r="B858" t="s">
        <v>32</v>
      </c>
      <c r="C858" t="s">
        <v>37</v>
      </c>
      <c r="D858" s="1">
        <v>45053</v>
      </c>
      <c r="E858">
        <v>36290315</v>
      </c>
      <c r="F858">
        <v>10742</v>
      </c>
      <c r="G858">
        <v>31</v>
      </c>
      <c r="H858">
        <v>55512</v>
      </c>
      <c r="I858">
        <v>858617</v>
      </c>
      <c r="J858">
        <v>29990</v>
      </c>
      <c r="K858">
        <v>24333</v>
      </c>
      <c r="L858">
        <v>145</v>
      </c>
      <c r="M858">
        <v>338427</v>
      </c>
      <c r="N858">
        <v>483348</v>
      </c>
      <c r="O858">
        <v>8135</v>
      </c>
      <c r="P858">
        <v>1058115</v>
      </c>
      <c r="Q858">
        <v>27.35</v>
      </c>
      <c r="R858">
        <v>20655211</v>
      </c>
      <c r="S858">
        <v>28137000</v>
      </c>
      <c r="T858">
        <v>28165318</v>
      </c>
      <c r="U858">
        <v>6.08</v>
      </c>
      <c r="V858">
        <v>6.36</v>
      </c>
      <c r="W858">
        <v>670</v>
      </c>
      <c r="X858">
        <v>2.68</v>
      </c>
      <c r="Y858">
        <v>97.26</v>
      </c>
    </row>
    <row r="859" spans="1:25" x14ac:dyDescent="0.3">
      <c r="A859" t="s">
        <v>29</v>
      </c>
      <c r="B859" t="s">
        <v>33</v>
      </c>
      <c r="C859" t="s">
        <v>38</v>
      </c>
      <c r="D859" s="1">
        <v>45054</v>
      </c>
      <c r="E859">
        <v>44994022</v>
      </c>
      <c r="F859">
        <v>14577</v>
      </c>
      <c r="G859">
        <v>34.700000000000003</v>
      </c>
      <c r="H859">
        <v>52024</v>
      </c>
      <c r="I859">
        <v>51248</v>
      </c>
      <c r="J859">
        <v>42907</v>
      </c>
      <c r="K859">
        <v>27620</v>
      </c>
      <c r="L859">
        <v>835</v>
      </c>
      <c r="M859">
        <v>569228</v>
      </c>
      <c r="N859">
        <v>320167</v>
      </c>
      <c r="O859">
        <v>1645</v>
      </c>
      <c r="P859">
        <v>133335</v>
      </c>
      <c r="Q859">
        <v>29.94</v>
      </c>
      <c r="R859">
        <v>23282874</v>
      </c>
      <c r="S859">
        <v>2465860</v>
      </c>
      <c r="T859">
        <v>14808722</v>
      </c>
      <c r="U859">
        <v>89.83</v>
      </c>
      <c r="V859">
        <v>2.72</v>
      </c>
      <c r="W859">
        <v>979</v>
      </c>
      <c r="X859">
        <v>0.93</v>
      </c>
      <c r="Y859">
        <v>76.319999999999993</v>
      </c>
    </row>
    <row r="860" spans="1:25" x14ac:dyDescent="0.3">
      <c r="A860" t="s">
        <v>26</v>
      </c>
      <c r="B860" t="s">
        <v>36</v>
      </c>
      <c r="C860" t="s">
        <v>37</v>
      </c>
      <c r="D860" s="1">
        <v>45055</v>
      </c>
      <c r="E860">
        <v>1264265</v>
      </c>
      <c r="F860">
        <v>12823</v>
      </c>
      <c r="G860">
        <v>46.7</v>
      </c>
      <c r="H860">
        <v>4832</v>
      </c>
      <c r="I860">
        <v>206728</v>
      </c>
      <c r="J860">
        <v>34076</v>
      </c>
      <c r="K860">
        <v>6973</v>
      </c>
      <c r="L860">
        <v>638</v>
      </c>
      <c r="M860">
        <v>556443</v>
      </c>
      <c r="N860">
        <v>167744</v>
      </c>
      <c r="O860">
        <v>9924</v>
      </c>
      <c r="P860">
        <v>1456097</v>
      </c>
      <c r="Q860">
        <v>5.42</v>
      </c>
      <c r="R860">
        <v>4841700</v>
      </c>
      <c r="S860">
        <v>21974507</v>
      </c>
      <c r="T860">
        <v>8933863</v>
      </c>
      <c r="U860">
        <v>30.44</v>
      </c>
      <c r="V860">
        <v>1.26</v>
      </c>
      <c r="W860">
        <v>1024</v>
      </c>
      <c r="X860">
        <v>4.0199999999999996</v>
      </c>
      <c r="Y860">
        <v>60.84</v>
      </c>
    </row>
    <row r="861" spans="1:25" x14ac:dyDescent="0.3">
      <c r="A861" t="s">
        <v>29</v>
      </c>
      <c r="B861" t="s">
        <v>34</v>
      </c>
      <c r="C861" t="s">
        <v>41</v>
      </c>
      <c r="D861" s="1">
        <v>45056</v>
      </c>
      <c r="E861">
        <v>23908056</v>
      </c>
      <c r="F861">
        <v>1339</v>
      </c>
      <c r="G861">
        <v>24.3</v>
      </c>
      <c r="H861">
        <v>33332</v>
      </c>
      <c r="I861">
        <v>920455</v>
      </c>
      <c r="J861">
        <v>49538</v>
      </c>
      <c r="K861">
        <v>7848</v>
      </c>
      <c r="L861">
        <v>1480</v>
      </c>
      <c r="M861">
        <v>567827</v>
      </c>
      <c r="N861">
        <v>185202</v>
      </c>
      <c r="O861">
        <v>1787</v>
      </c>
      <c r="P861">
        <v>1889825</v>
      </c>
      <c r="Q861">
        <v>1.1499999999999999</v>
      </c>
      <c r="R861">
        <v>19670846</v>
      </c>
      <c r="S861">
        <v>3725551</v>
      </c>
      <c r="T861">
        <v>15685008</v>
      </c>
      <c r="U861">
        <v>50.01</v>
      </c>
      <c r="V861">
        <v>0.51</v>
      </c>
      <c r="W861">
        <v>4537</v>
      </c>
      <c r="X861">
        <v>2.4700000000000002</v>
      </c>
      <c r="Y861">
        <v>36.54</v>
      </c>
    </row>
    <row r="862" spans="1:25" x14ac:dyDescent="0.3">
      <c r="A862" t="s">
        <v>26</v>
      </c>
      <c r="B862" t="s">
        <v>34</v>
      </c>
      <c r="C862" t="s">
        <v>40</v>
      </c>
      <c r="D862" s="1">
        <v>45057</v>
      </c>
      <c r="E862">
        <v>15293752</v>
      </c>
      <c r="F862">
        <v>1497</v>
      </c>
      <c r="G862">
        <v>18.7</v>
      </c>
      <c r="H862">
        <v>13467</v>
      </c>
      <c r="I862">
        <v>983716</v>
      </c>
      <c r="J862">
        <v>3258</v>
      </c>
      <c r="K862">
        <v>45177</v>
      </c>
      <c r="L862">
        <v>134</v>
      </c>
      <c r="M862">
        <v>317899</v>
      </c>
      <c r="N862">
        <v>330148</v>
      </c>
      <c r="O862">
        <v>9815</v>
      </c>
      <c r="P862">
        <v>942902</v>
      </c>
      <c r="Q862">
        <v>8.25</v>
      </c>
      <c r="R862">
        <v>44286219</v>
      </c>
      <c r="S862">
        <v>1421672</v>
      </c>
      <c r="T862">
        <v>16015040</v>
      </c>
      <c r="U862">
        <v>42.24</v>
      </c>
      <c r="V862">
        <v>6.28</v>
      </c>
      <c r="W862">
        <v>4497</v>
      </c>
      <c r="X862">
        <v>2.91</v>
      </c>
      <c r="Y862">
        <v>18.16</v>
      </c>
    </row>
    <row r="863" spans="1:25" x14ac:dyDescent="0.3">
      <c r="A863" t="s">
        <v>26</v>
      </c>
      <c r="B863" t="s">
        <v>36</v>
      </c>
      <c r="C863" t="s">
        <v>40</v>
      </c>
      <c r="D863" s="1">
        <v>45058</v>
      </c>
      <c r="E863">
        <v>808617</v>
      </c>
      <c r="F863">
        <v>19633</v>
      </c>
      <c r="G863">
        <v>45.6</v>
      </c>
      <c r="H863">
        <v>42025</v>
      </c>
      <c r="I863">
        <v>994205</v>
      </c>
      <c r="J863">
        <v>31629</v>
      </c>
      <c r="K863">
        <v>12253</v>
      </c>
      <c r="L863">
        <v>625</v>
      </c>
      <c r="M863">
        <v>72719</v>
      </c>
      <c r="N863">
        <v>244633</v>
      </c>
      <c r="O863">
        <v>999</v>
      </c>
      <c r="P863">
        <v>1289886</v>
      </c>
      <c r="Q863">
        <v>25.05</v>
      </c>
      <c r="R863">
        <v>36555478</v>
      </c>
      <c r="S863">
        <v>31634462</v>
      </c>
      <c r="T863">
        <v>11199468</v>
      </c>
      <c r="U863">
        <v>17.18</v>
      </c>
      <c r="V863">
        <v>3.94</v>
      </c>
      <c r="W863">
        <v>2903</v>
      </c>
      <c r="X863">
        <v>0.82</v>
      </c>
      <c r="Y863">
        <v>68.67</v>
      </c>
    </row>
    <row r="864" spans="1:25" x14ac:dyDescent="0.3">
      <c r="A864" t="s">
        <v>27</v>
      </c>
      <c r="B864" t="s">
        <v>36</v>
      </c>
      <c r="C864" t="s">
        <v>40</v>
      </c>
      <c r="D864" s="1">
        <v>45059</v>
      </c>
      <c r="E864">
        <v>11868954</v>
      </c>
      <c r="F864">
        <v>19617</v>
      </c>
      <c r="G864">
        <v>36.5</v>
      </c>
      <c r="H864">
        <v>14107</v>
      </c>
      <c r="I864">
        <v>80888</v>
      </c>
      <c r="J864">
        <v>37579</v>
      </c>
      <c r="K864">
        <v>27949</v>
      </c>
      <c r="L864">
        <v>1287</v>
      </c>
      <c r="M864">
        <v>710849</v>
      </c>
      <c r="N864">
        <v>237569</v>
      </c>
      <c r="O864">
        <v>1848</v>
      </c>
      <c r="P864">
        <v>1016120</v>
      </c>
      <c r="Q864">
        <v>8.82</v>
      </c>
      <c r="R864">
        <v>37117</v>
      </c>
      <c r="S864">
        <v>18528130</v>
      </c>
      <c r="T864">
        <v>12476892</v>
      </c>
      <c r="U864">
        <v>35.81</v>
      </c>
      <c r="V864">
        <v>7.65</v>
      </c>
      <c r="W864">
        <v>1739</v>
      </c>
      <c r="X864">
        <v>1.69</v>
      </c>
      <c r="Y864">
        <v>99.49</v>
      </c>
    </row>
    <row r="865" spans="1:25" x14ac:dyDescent="0.3">
      <c r="A865" t="s">
        <v>31</v>
      </c>
      <c r="B865" t="s">
        <v>36</v>
      </c>
      <c r="C865" t="s">
        <v>37</v>
      </c>
      <c r="D865" s="1">
        <v>45060</v>
      </c>
      <c r="E865">
        <v>1244748</v>
      </c>
      <c r="F865">
        <v>14189</v>
      </c>
      <c r="G865">
        <v>46.5</v>
      </c>
      <c r="H865">
        <v>44481</v>
      </c>
      <c r="I865">
        <v>207354</v>
      </c>
      <c r="J865">
        <v>22958</v>
      </c>
      <c r="K865">
        <v>1855</v>
      </c>
      <c r="L865">
        <v>63</v>
      </c>
      <c r="M865">
        <v>798176</v>
      </c>
      <c r="N865">
        <v>233408</v>
      </c>
      <c r="O865">
        <v>1561</v>
      </c>
      <c r="P865">
        <v>1256449</v>
      </c>
      <c r="Q865">
        <v>1.71</v>
      </c>
      <c r="R865">
        <v>45218748</v>
      </c>
      <c r="S865">
        <v>1776305</v>
      </c>
      <c r="T865">
        <v>7206009</v>
      </c>
      <c r="U865">
        <v>19.29</v>
      </c>
      <c r="V865">
        <v>4.0599999999999996</v>
      </c>
      <c r="W865">
        <v>4721</v>
      </c>
      <c r="X865">
        <v>2.11</v>
      </c>
      <c r="Y865">
        <v>46.74</v>
      </c>
    </row>
    <row r="866" spans="1:25" x14ac:dyDescent="0.3">
      <c r="A866" t="s">
        <v>26</v>
      </c>
      <c r="B866" t="s">
        <v>34</v>
      </c>
      <c r="C866" t="s">
        <v>37</v>
      </c>
      <c r="D866" s="1">
        <v>45061</v>
      </c>
      <c r="E866">
        <v>46079602</v>
      </c>
      <c r="F866">
        <v>13807</v>
      </c>
      <c r="G866">
        <v>37.1</v>
      </c>
      <c r="H866">
        <v>3581</v>
      </c>
      <c r="I866">
        <v>241346</v>
      </c>
      <c r="J866">
        <v>39465</v>
      </c>
      <c r="K866">
        <v>46720</v>
      </c>
      <c r="L866">
        <v>490</v>
      </c>
      <c r="M866">
        <v>619382</v>
      </c>
      <c r="N866">
        <v>160375</v>
      </c>
      <c r="O866">
        <v>773</v>
      </c>
      <c r="P866">
        <v>1360827</v>
      </c>
      <c r="Q866">
        <v>1.57</v>
      </c>
      <c r="R866">
        <v>24097972</v>
      </c>
      <c r="S866">
        <v>10883728</v>
      </c>
      <c r="T866">
        <v>5979212</v>
      </c>
      <c r="U866">
        <v>20.39</v>
      </c>
      <c r="V866">
        <v>5.12</v>
      </c>
      <c r="W866">
        <v>4668</v>
      </c>
      <c r="X866">
        <v>4.0599999999999996</v>
      </c>
      <c r="Y866">
        <v>72.37</v>
      </c>
    </row>
    <row r="867" spans="1:25" x14ac:dyDescent="0.3">
      <c r="A867" t="s">
        <v>28</v>
      </c>
      <c r="B867" t="s">
        <v>34</v>
      </c>
      <c r="C867" t="s">
        <v>40</v>
      </c>
      <c r="D867" s="1">
        <v>45062</v>
      </c>
      <c r="E867">
        <v>27720234</v>
      </c>
      <c r="F867">
        <v>5512</v>
      </c>
      <c r="G867">
        <v>43.9</v>
      </c>
      <c r="H867">
        <v>52638</v>
      </c>
      <c r="I867">
        <v>619821</v>
      </c>
      <c r="J867">
        <v>20317</v>
      </c>
      <c r="K867">
        <v>16776</v>
      </c>
      <c r="L867">
        <v>1670</v>
      </c>
      <c r="M867">
        <v>321239</v>
      </c>
      <c r="N867">
        <v>77188</v>
      </c>
      <c r="O867">
        <v>7311</v>
      </c>
      <c r="P867">
        <v>950656</v>
      </c>
      <c r="Q867">
        <v>12.82</v>
      </c>
      <c r="R867">
        <v>20132888</v>
      </c>
      <c r="S867">
        <v>30957499</v>
      </c>
      <c r="T867">
        <v>20665655</v>
      </c>
      <c r="U867">
        <v>18.71</v>
      </c>
      <c r="V867">
        <v>4.37</v>
      </c>
      <c r="W867">
        <v>775</v>
      </c>
      <c r="X867">
        <v>3.87</v>
      </c>
      <c r="Y867">
        <v>49.51</v>
      </c>
    </row>
    <row r="868" spans="1:25" x14ac:dyDescent="0.3">
      <c r="A868" t="s">
        <v>30</v>
      </c>
      <c r="B868" t="s">
        <v>36</v>
      </c>
      <c r="C868" t="s">
        <v>37</v>
      </c>
      <c r="D868" s="1">
        <v>45063</v>
      </c>
      <c r="E868">
        <v>47550087</v>
      </c>
      <c r="F868">
        <v>19650</v>
      </c>
      <c r="G868">
        <v>31.7</v>
      </c>
      <c r="H868">
        <v>9418</v>
      </c>
      <c r="I868">
        <v>42954</v>
      </c>
      <c r="J868">
        <v>15775</v>
      </c>
      <c r="K868">
        <v>36890</v>
      </c>
      <c r="L868">
        <v>40</v>
      </c>
      <c r="M868">
        <v>695411</v>
      </c>
      <c r="N868">
        <v>5708</v>
      </c>
      <c r="O868">
        <v>5179</v>
      </c>
      <c r="P868">
        <v>487476</v>
      </c>
      <c r="Q868">
        <v>27.95</v>
      </c>
      <c r="R868">
        <v>21159869</v>
      </c>
      <c r="S868">
        <v>39445825</v>
      </c>
      <c r="T868">
        <v>22887260</v>
      </c>
      <c r="U868">
        <v>48.9</v>
      </c>
      <c r="V868">
        <v>6.68</v>
      </c>
      <c r="W868">
        <v>211</v>
      </c>
      <c r="X868">
        <v>1.19</v>
      </c>
      <c r="Y868">
        <v>43.19</v>
      </c>
    </row>
    <row r="869" spans="1:25" x14ac:dyDescent="0.3">
      <c r="A869" t="s">
        <v>25</v>
      </c>
      <c r="B869" t="s">
        <v>35</v>
      </c>
      <c r="C869" t="s">
        <v>39</v>
      </c>
      <c r="D869" s="1">
        <v>45064</v>
      </c>
      <c r="E869">
        <v>1234275</v>
      </c>
      <c r="F869">
        <v>19570</v>
      </c>
      <c r="G869">
        <v>42</v>
      </c>
      <c r="H869">
        <v>30113</v>
      </c>
      <c r="I869">
        <v>352863</v>
      </c>
      <c r="J869">
        <v>11039</v>
      </c>
      <c r="K869">
        <v>12790</v>
      </c>
      <c r="L869">
        <v>1319</v>
      </c>
      <c r="M869">
        <v>719090</v>
      </c>
      <c r="N869">
        <v>45767</v>
      </c>
      <c r="O869">
        <v>1803</v>
      </c>
      <c r="P869">
        <v>949128</v>
      </c>
      <c r="Q869">
        <v>8.58</v>
      </c>
      <c r="R869">
        <v>45829507</v>
      </c>
      <c r="S869">
        <v>3056151</v>
      </c>
      <c r="T869">
        <v>9127593</v>
      </c>
      <c r="U869">
        <v>79.790000000000006</v>
      </c>
      <c r="V869">
        <v>3.88</v>
      </c>
      <c r="W869">
        <v>708</v>
      </c>
      <c r="X869">
        <v>3.12</v>
      </c>
      <c r="Y869">
        <v>41.03</v>
      </c>
    </row>
    <row r="870" spans="1:25" x14ac:dyDescent="0.3">
      <c r="A870" t="s">
        <v>31</v>
      </c>
      <c r="B870" t="s">
        <v>35</v>
      </c>
      <c r="C870" t="s">
        <v>39</v>
      </c>
      <c r="D870" s="1">
        <v>45065</v>
      </c>
      <c r="E870">
        <v>33275006</v>
      </c>
      <c r="F870">
        <v>19752</v>
      </c>
      <c r="G870">
        <v>47.2</v>
      </c>
      <c r="H870">
        <v>64044</v>
      </c>
      <c r="I870">
        <v>665164</v>
      </c>
      <c r="J870">
        <v>29097</v>
      </c>
      <c r="K870">
        <v>48468</v>
      </c>
      <c r="L870">
        <v>1026</v>
      </c>
      <c r="M870">
        <v>366542</v>
      </c>
      <c r="N870">
        <v>55647</v>
      </c>
      <c r="O870">
        <v>9290</v>
      </c>
      <c r="P870">
        <v>916672</v>
      </c>
      <c r="Q870">
        <v>12.81</v>
      </c>
      <c r="R870">
        <v>37152989</v>
      </c>
      <c r="S870">
        <v>15012767</v>
      </c>
      <c r="T870">
        <v>6275589</v>
      </c>
      <c r="U870">
        <v>56.9</v>
      </c>
      <c r="V870">
        <v>9.66</v>
      </c>
      <c r="W870">
        <v>2947</v>
      </c>
      <c r="X870">
        <v>1.29</v>
      </c>
      <c r="Y870">
        <v>50.46</v>
      </c>
    </row>
    <row r="871" spans="1:25" x14ac:dyDescent="0.3">
      <c r="A871" t="s">
        <v>31</v>
      </c>
      <c r="B871" t="s">
        <v>32</v>
      </c>
      <c r="C871" t="s">
        <v>37</v>
      </c>
      <c r="D871" s="1">
        <v>45066</v>
      </c>
      <c r="E871">
        <v>10186427</v>
      </c>
      <c r="F871">
        <v>19216</v>
      </c>
      <c r="G871">
        <v>36.299999999999997</v>
      </c>
      <c r="H871">
        <v>62030</v>
      </c>
      <c r="I871">
        <v>749065</v>
      </c>
      <c r="J871">
        <v>34207</v>
      </c>
      <c r="K871">
        <v>42866</v>
      </c>
      <c r="L871">
        <v>912</v>
      </c>
      <c r="M871">
        <v>291015</v>
      </c>
      <c r="N871">
        <v>415801</v>
      </c>
      <c r="O871">
        <v>2050</v>
      </c>
      <c r="P871">
        <v>1411375</v>
      </c>
      <c r="Q871">
        <v>3.06</v>
      </c>
      <c r="R871">
        <v>12628364</v>
      </c>
      <c r="S871">
        <v>3356641</v>
      </c>
      <c r="T871">
        <v>21447876</v>
      </c>
      <c r="U871">
        <v>89.32</v>
      </c>
      <c r="V871">
        <v>9.39</v>
      </c>
      <c r="W871">
        <v>4669</v>
      </c>
      <c r="X871">
        <v>4.9400000000000004</v>
      </c>
      <c r="Y871">
        <v>36.69</v>
      </c>
    </row>
    <row r="872" spans="1:25" x14ac:dyDescent="0.3">
      <c r="A872" t="s">
        <v>31</v>
      </c>
      <c r="B872" t="s">
        <v>33</v>
      </c>
      <c r="C872" t="s">
        <v>40</v>
      </c>
      <c r="D872" s="1">
        <v>45067</v>
      </c>
      <c r="E872">
        <v>9922794</v>
      </c>
      <c r="F872">
        <v>7707</v>
      </c>
      <c r="G872">
        <v>23.8</v>
      </c>
      <c r="H872">
        <v>12814</v>
      </c>
      <c r="I872">
        <v>263739</v>
      </c>
      <c r="J872">
        <v>22553</v>
      </c>
      <c r="K872">
        <v>1519</v>
      </c>
      <c r="L872">
        <v>1729</v>
      </c>
      <c r="M872">
        <v>463074</v>
      </c>
      <c r="N872">
        <v>403178</v>
      </c>
      <c r="O872">
        <v>9790</v>
      </c>
      <c r="P872">
        <v>581420</v>
      </c>
      <c r="Q872">
        <v>14.81</v>
      </c>
      <c r="R872">
        <v>49464233</v>
      </c>
      <c r="S872">
        <v>37109522</v>
      </c>
      <c r="T872">
        <v>23723105</v>
      </c>
      <c r="U872">
        <v>63.65</v>
      </c>
      <c r="V872">
        <v>8.56</v>
      </c>
      <c r="W872">
        <v>4149</v>
      </c>
      <c r="X872">
        <v>4.7699999999999996</v>
      </c>
      <c r="Y872">
        <v>74.88</v>
      </c>
    </row>
    <row r="873" spans="1:25" x14ac:dyDescent="0.3">
      <c r="A873" t="s">
        <v>27</v>
      </c>
      <c r="B873" t="s">
        <v>35</v>
      </c>
      <c r="C873" t="s">
        <v>37</v>
      </c>
      <c r="D873" s="1">
        <v>45068</v>
      </c>
      <c r="E873">
        <v>43041546</v>
      </c>
      <c r="F873">
        <v>4970</v>
      </c>
      <c r="G873">
        <v>26.6</v>
      </c>
      <c r="H873">
        <v>11024</v>
      </c>
      <c r="I873">
        <v>292736</v>
      </c>
      <c r="J873">
        <v>44402</v>
      </c>
      <c r="K873">
        <v>23967</v>
      </c>
      <c r="L873">
        <v>974</v>
      </c>
      <c r="M873">
        <v>160450</v>
      </c>
      <c r="N873">
        <v>390635</v>
      </c>
      <c r="O873">
        <v>747</v>
      </c>
      <c r="P873">
        <v>1961709</v>
      </c>
      <c r="Q873">
        <v>20.9</v>
      </c>
      <c r="R873">
        <v>17726000</v>
      </c>
      <c r="S873">
        <v>38520129</v>
      </c>
      <c r="T873">
        <v>20318666</v>
      </c>
      <c r="U873">
        <v>68.930000000000007</v>
      </c>
      <c r="V873">
        <v>9.24</v>
      </c>
      <c r="W873">
        <v>2592</v>
      </c>
      <c r="X873">
        <v>2.86</v>
      </c>
      <c r="Y873">
        <v>87.43</v>
      </c>
    </row>
    <row r="874" spans="1:25" x14ac:dyDescent="0.3">
      <c r="A874" t="s">
        <v>26</v>
      </c>
      <c r="B874" t="s">
        <v>34</v>
      </c>
      <c r="C874" t="s">
        <v>37</v>
      </c>
      <c r="D874" s="1">
        <v>45069</v>
      </c>
      <c r="E874">
        <v>6694224</v>
      </c>
      <c r="F874">
        <v>10395</v>
      </c>
      <c r="G874">
        <v>24.4</v>
      </c>
      <c r="H874">
        <v>64288</v>
      </c>
      <c r="I874">
        <v>565931</v>
      </c>
      <c r="J874">
        <v>55</v>
      </c>
      <c r="K874">
        <v>45182</v>
      </c>
      <c r="L874">
        <v>1133</v>
      </c>
      <c r="M874">
        <v>167729</v>
      </c>
      <c r="N874">
        <v>235007</v>
      </c>
      <c r="O874">
        <v>8125</v>
      </c>
      <c r="P874">
        <v>106494</v>
      </c>
      <c r="Q874">
        <v>8.1300000000000008</v>
      </c>
      <c r="R874">
        <v>47373133</v>
      </c>
      <c r="S874">
        <v>32757618</v>
      </c>
      <c r="T874">
        <v>6389576</v>
      </c>
      <c r="U874">
        <v>66.760000000000005</v>
      </c>
      <c r="V874">
        <v>4.7699999999999996</v>
      </c>
      <c r="W874">
        <v>1628</v>
      </c>
      <c r="X874">
        <v>3.52</v>
      </c>
      <c r="Y874">
        <v>88.29</v>
      </c>
    </row>
    <row r="875" spans="1:25" x14ac:dyDescent="0.3">
      <c r="A875" t="s">
        <v>27</v>
      </c>
      <c r="B875" t="s">
        <v>35</v>
      </c>
      <c r="C875" t="s">
        <v>37</v>
      </c>
      <c r="D875" s="1">
        <v>45070</v>
      </c>
      <c r="E875">
        <v>42999758</v>
      </c>
      <c r="F875">
        <v>8467</v>
      </c>
      <c r="G875">
        <v>25.9</v>
      </c>
      <c r="H875">
        <v>58836</v>
      </c>
      <c r="I875">
        <v>255793</v>
      </c>
      <c r="J875">
        <v>23161</v>
      </c>
      <c r="K875">
        <v>34356</v>
      </c>
      <c r="L875">
        <v>1244</v>
      </c>
      <c r="M875">
        <v>6414</v>
      </c>
      <c r="N875">
        <v>338192</v>
      </c>
      <c r="O875">
        <v>5860</v>
      </c>
      <c r="P875">
        <v>1888987</v>
      </c>
      <c r="Q875">
        <v>8.9</v>
      </c>
      <c r="R875">
        <v>23191991</v>
      </c>
      <c r="S875">
        <v>5587874</v>
      </c>
      <c r="T875">
        <v>22696165</v>
      </c>
      <c r="U875">
        <v>44.95</v>
      </c>
      <c r="V875">
        <v>5.6</v>
      </c>
      <c r="W875">
        <v>4044</v>
      </c>
      <c r="X875">
        <v>4.03</v>
      </c>
      <c r="Y875">
        <v>22.77</v>
      </c>
    </row>
    <row r="876" spans="1:25" x14ac:dyDescent="0.3">
      <c r="A876" t="s">
        <v>26</v>
      </c>
      <c r="B876" t="s">
        <v>32</v>
      </c>
      <c r="C876" t="s">
        <v>41</v>
      </c>
      <c r="D876" s="1">
        <v>45071</v>
      </c>
      <c r="E876">
        <v>48757587</v>
      </c>
      <c r="F876">
        <v>17210</v>
      </c>
      <c r="G876">
        <v>27.8</v>
      </c>
      <c r="H876">
        <v>8435</v>
      </c>
      <c r="I876">
        <v>325809</v>
      </c>
      <c r="J876">
        <v>32873</v>
      </c>
      <c r="K876">
        <v>17273</v>
      </c>
      <c r="L876">
        <v>1393</v>
      </c>
      <c r="M876">
        <v>215272</v>
      </c>
      <c r="N876">
        <v>480206</v>
      </c>
      <c r="O876">
        <v>3973</v>
      </c>
      <c r="P876">
        <v>1894021</v>
      </c>
      <c r="Q876">
        <v>25.26</v>
      </c>
      <c r="R876">
        <v>18638807</v>
      </c>
      <c r="S876">
        <v>22964932</v>
      </c>
      <c r="T876">
        <v>2811047</v>
      </c>
      <c r="U876">
        <v>68.930000000000007</v>
      </c>
      <c r="V876">
        <v>7.55</v>
      </c>
      <c r="W876">
        <v>1124</v>
      </c>
      <c r="X876">
        <v>3.63</v>
      </c>
      <c r="Y876">
        <v>89.59</v>
      </c>
    </row>
    <row r="877" spans="1:25" x14ac:dyDescent="0.3">
      <c r="A877" t="s">
        <v>27</v>
      </c>
      <c r="B877" t="s">
        <v>32</v>
      </c>
      <c r="C877" t="s">
        <v>39</v>
      </c>
      <c r="D877" s="1">
        <v>45072</v>
      </c>
      <c r="E877">
        <v>40078725</v>
      </c>
      <c r="F877">
        <v>5258</v>
      </c>
      <c r="G877">
        <v>35.799999999999997</v>
      </c>
      <c r="H877">
        <v>68084</v>
      </c>
      <c r="I877">
        <v>939327</v>
      </c>
      <c r="J877">
        <v>35969</v>
      </c>
      <c r="K877">
        <v>46884</v>
      </c>
      <c r="L877">
        <v>367</v>
      </c>
      <c r="M877">
        <v>289824</v>
      </c>
      <c r="N877">
        <v>334124</v>
      </c>
      <c r="O877">
        <v>9745</v>
      </c>
      <c r="P877">
        <v>1275573</v>
      </c>
      <c r="Q877">
        <v>0.31</v>
      </c>
      <c r="R877">
        <v>10210577</v>
      </c>
      <c r="S877">
        <v>24201114</v>
      </c>
      <c r="T877">
        <v>16035624</v>
      </c>
      <c r="U877">
        <v>6.97</v>
      </c>
      <c r="V877">
        <v>7.11</v>
      </c>
      <c r="W877">
        <v>3255</v>
      </c>
      <c r="X877">
        <v>3.53</v>
      </c>
      <c r="Y877">
        <v>34.159999999999997</v>
      </c>
    </row>
    <row r="878" spans="1:25" x14ac:dyDescent="0.3">
      <c r="A878" t="s">
        <v>27</v>
      </c>
      <c r="B878" t="s">
        <v>33</v>
      </c>
      <c r="C878" t="s">
        <v>38</v>
      </c>
      <c r="D878" s="1">
        <v>45073</v>
      </c>
      <c r="E878">
        <v>40247799</v>
      </c>
      <c r="F878">
        <v>737</v>
      </c>
      <c r="G878">
        <v>36.799999999999997</v>
      </c>
      <c r="H878">
        <v>4407</v>
      </c>
      <c r="I878">
        <v>269116</v>
      </c>
      <c r="J878">
        <v>15184</v>
      </c>
      <c r="K878">
        <v>26158</v>
      </c>
      <c r="L878">
        <v>1459</v>
      </c>
      <c r="M878">
        <v>867151</v>
      </c>
      <c r="N878">
        <v>57660</v>
      </c>
      <c r="O878">
        <v>1615</v>
      </c>
      <c r="P878">
        <v>589085</v>
      </c>
      <c r="Q878">
        <v>19.09</v>
      </c>
      <c r="R878">
        <v>10055714</v>
      </c>
      <c r="S878">
        <v>19741701</v>
      </c>
      <c r="T878">
        <v>22265608</v>
      </c>
      <c r="U878">
        <v>85.99</v>
      </c>
      <c r="V878">
        <v>8.9600000000000009</v>
      </c>
      <c r="W878">
        <v>4094</v>
      </c>
      <c r="X878">
        <v>4.8</v>
      </c>
      <c r="Y878">
        <v>30.93</v>
      </c>
    </row>
    <row r="879" spans="1:25" x14ac:dyDescent="0.3">
      <c r="A879" t="s">
        <v>30</v>
      </c>
      <c r="B879" t="s">
        <v>35</v>
      </c>
      <c r="C879" t="s">
        <v>38</v>
      </c>
      <c r="D879" s="1">
        <v>45074</v>
      </c>
      <c r="E879">
        <v>27262677</v>
      </c>
      <c r="F879">
        <v>16963</v>
      </c>
      <c r="G879">
        <v>31.6</v>
      </c>
      <c r="H879">
        <v>33940</v>
      </c>
      <c r="I879">
        <v>279026</v>
      </c>
      <c r="J879">
        <v>669</v>
      </c>
      <c r="K879">
        <v>31543</v>
      </c>
      <c r="L879">
        <v>917</v>
      </c>
      <c r="M879">
        <v>865548</v>
      </c>
      <c r="N879">
        <v>377307</v>
      </c>
      <c r="O879">
        <v>3754</v>
      </c>
      <c r="P879">
        <v>1101374</v>
      </c>
      <c r="Q879">
        <v>11.82</v>
      </c>
      <c r="R879">
        <v>38672600</v>
      </c>
      <c r="S879">
        <v>3647981</v>
      </c>
      <c r="T879">
        <v>12642233</v>
      </c>
      <c r="U879">
        <v>77.78</v>
      </c>
      <c r="V879">
        <v>7.31</v>
      </c>
      <c r="W879">
        <v>3483</v>
      </c>
      <c r="X879">
        <v>3.02</v>
      </c>
      <c r="Y879">
        <v>72.680000000000007</v>
      </c>
    </row>
    <row r="880" spans="1:25" x14ac:dyDescent="0.3">
      <c r="A880" t="s">
        <v>28</v>
      </c>
      <c r="B880" t="s">
        <v>34</v>
      </c>
      <c r="C880" t="s">
        <v>41</v>
      </c>
      <c r="D880" s="1">
        <v>45075</v>
      </c>
      <c r="E880">
        <v>5818331</v>
      </c>
      <c r="F880">
        <v>13273</v>
      </c>
      <c r="G880">
        <v>37.700000000000003</v>
      </c>
      <c r="H880">
        <v>6666</v>
      </c>
      <c r="I880">
        <v>722754</v>
      </c>
      <c r="J880">
        <v>12663</v>
      </c>
      <c r="K880">
        <v>42618</v>
      </c>
      <c r="L880">
        <v>1027</v>
      </c>
      <c r="M880">
        <v>228061</v>
      </c>
      <c r="N880">
        <v>499507</v>
      </c>
      <c r="O880">
        <v>5506</v>
      </c>
      <c r="P880">
        <v>1721586</v>
      </c>
      <c r="Q880">
        <v>8.9499999999999993</v>
      </c>
      <c r="R880">
        <v>13161168</v>
      </c>
      <c r="S880">
        <v>15345532</v>
      </c>
      <c r="T880">
        <v>15963495</v>
      </c>
      <c r="U880">
        <v>24.52</v>
      </c>
      <c r="V880">
        <v>9.98</v>
      </c>
      <c r="W880">
        <v>927</v>
      </c>
      <c r="X880">
        <v>3.22</v>
      </c>
      <c r="Y880">
        <v>30.47</v>
      </c>
    </row>
    <row r="881" spans="1:25" x14ac:dyDescent="0.3">
      <c r="A881" t="s">
        <v>27</v>
      </c>
      <c r="B881" t="s">
        <v>34</v>
      </c>
      <c r="C881" t="s">
        <v>37</v>
      </c>
      <c r="D881" s="1">
        <v>45076</v>
      </c>
      <c r="E881">
        <v>32982872</v>
      </c>
      <c r="F881">
        <v>8130</v>
      </c>
      <c r="G881">
        <v>20.6</v>
      </c>
      <c r="H881">
        <v>38122</v>
      </c>
      <c r="I881">
        <v>465271</v>
      </c>
      <c r="J881">
        <v>25318</v>
      </c>
      <c r="K881">
        <v>12941</v>
      </c>
      <c r="L881">
        <v>243</v>
      </c>
      <c r="M881">
        <v>187935</v>
      </c>
      <c r="N881">
        <v>214701</v>
      </c>
      <c r="O881">
        <v>4221</v>
      </c>
      <c r="P881">
        <v>1468806</v>
      </c>
      <c r="Q881">
        <v>19.73</v>
      </c>
      <c r="R881">
        <v>13242015</v>
      </c>
      <c r="S881">
        <v>33071024</v>
      </c>
      <c r="T881">
        <v>28354754</v>
      </c>
      <c r="U881">
        <v>76.8</v>
      </c>
      <c r="V881">
        <v>3.81</v>
      </c>
      <c r="W881">
        <v>1141</v>
      </c>
      <c r="X881">
        <v>4.26</v>
      </c>
      <c r="Y881">
        <v>5.3</v>
      </c>
    </row>
    <row r="882" spans="1:25" x14ac:dyDescent="0.3">
      <c r="A882" t="s">
        <v>30</v>
      </c>
      <c r="B882" t="s">
        <v>36</v>
      </c>
      <c r="C882" t="s">
        <v>41</v>
      </c>
      <c r="D882" s="1">
        <v>45077</v>
      </c>
      <c r="E882">
        <v>20241160</v>
      </c>
      <c r="F882">
        <v>18587</v>
      </c>
      <c r="G882">
        <v>20.8</v>
      </c>
      <c r="H882">
        <v>26092</v>
      </c>
      <c r="I882">
        <v>680129</v>
      </c>
      <c r="J882">
        <v>33734</v>
      </c>
      <c r="K882">
        <v>1369</v>
      </c>
      <c r="L882">
        <v>901</v>
      </c>
      <c r="M882">
        <v>620001</v>
      </c>
      <c r="N882">
        <v>356462</v>
      </c>
      <c r="O882">
        <v>5291</v>
      </c>
      <c r="P882">
        <v>1650285</v>
      </c>
      <c r="Q882">
        <v>25.04</v>
      </c>
      <c r="R882">
        <v>27394566</v>
      </c>
      <c r="S882">
        <v>17546896</v>
      </c>
      <c r="T882">
        <v>1236236</v>
      </c>
      <c r="U882">
        <v>1.26</v>
      </c>
      <c r="V882">
        <v>8.41</v>
      </c>
      <c r="W882">
        <v>3109</v>
      </c>
      <c r="X882">
        <v>3.38</v>
      </c>
      <c r="Y882">
        <v>37.36</v>
      </c>
    </row>
    <row r="883" spans="1:25" x14ac:dyDescent="0.3">
      <c r="A883" t="s">
        <v>29</v>
      </c>
      <c r="B883" t="s">
        <v>34</v>
      </c>
      <c r="C883" t="s">
        <v>41</v>
      </c>
      <c r="D883" s="1">
        <v>45078</v>
      </c>
      <c r="E883">
        <v>11236301</v>
      </c>
      <c r="F883">
        <v>9536</v>
      </c>
      <c r="G883">
        <v>23.5</v>
      </c>
      <c r="H883">
        <v>27505</v>
      </c>
      <c r="I883">
        <v>550308</v>
      </c>
      <c r="J883">
        <v>16691</v>
      </c>
      <c r="K883">
        <v>24542</v>
      </c>
      <c r="L883">
        <v>165</v>
      </c>
      <c r="M883">
        <v>421076</v>
      </c>
      <c r="N883">
        <v>376706</v>
      </c>
      <c r="O883">
        <v>5854</v>
      </c>
      <c r="P883">
        <v>1319154</v>
      </c>
      <c r="Q883">
        <v>16.75</v>
      </c>
      <c r="R883">
        <v>10764556</v>
      </c>
      <c r="S883">
        <v>3183965</v>
      </c>
      <c r="T883">
        <v>3804178</v>
      </c>
      <c r="U883">
        <v>21.72</v>
      </c>
      <c r="V883">
        <v>7.13</v>
      </c>
      <c r="W883">
        <v>1724</v>
      </c>
      <c r="X883">
        <v>3.69</v>
      </c>
      <c r="Y883">
        <v>72.150000000000006</v>
      </c>
    </row>
    <row r="884" spans="1:25" x14ac:dyDescent="0.3">
      <c r="A884" t="s">
        <v>28</v>
      </c>
      <c r="B884" t="s">
        <v>33</v>
      </c>
      <c r="C884" t="s">
        <v>40</v>
      </c>
      <c r="D884" s="1">
        <v>45079</v>
      </c>
      <c r="E884">
        <v>11652153</v>
      </c>
      <c r="F884">
        <v>6144</v>
      </c>
      <c r="G884">
        <v>34.6</v>
      </c>
      <c r="H884">
        <v>37713</v>
      </c>
      <c r="I884">
        <v>961252</v>
      </c>
      <c r="J884">
        <v>18522</v>
      </c>
      <c r="K884">
        <v>20354</v>
      </c>
      <c r="L884">
        <v>1049</v>
      </c>
      <c r="M884">
        <v>562593</v>
      </c>
      <c r="N884">
        <v>159587</v>
      </c>
      <c r="O884">
        <v>216</v>
      </c>
      <c r="P884">
        <v>817460</v>
      </c>
      <c r="Q884">
        <v>0.93</v>
      </c>
      <c r="R884">
        <v>18463194</v>
      </c>
      <c r="S884">
        <v>4384679</v>
      </c>
      <c r="T884">
        <v>26712417</v>
      </c>
      <c r="U884">
        <v>6.51</v>
      </c>
      <c r="V884">
        <v>7.07</v>
      </c>
      <c r="W884">
        <v>1658</v>
      </c>
      <c r="X884">
        <v>1.25</v>
      </c>
      <c r="Y884">
        <v>32.700000000000003</v>
      </c>
    </row>
    <row r="885" spans="1:25" x14ac:dyDescent="0.3">
      <c r="A885" t="s">
        <v>27</v>
      </c>
      <c r="B885" t="s">
        <v>33</v>
      </c>
      <c r="C885" t="s">
        <v>39</v>
      </c>
      <c r="D885" s="1">
        <v>45080</v>
      </c>
      <c r="E885">
        <v>29181968</v>
      </c>
      <c r="F885">
        <v>7742</v>
      </c>
      <c r="G885">
        <v>24.8</v>
      </c>
      <c r="H885">
        <v>55387</v>
      </c>
      <c r="I885">
        <v>365765</v>
      </c>
      <c r="J885">
        <v>11656</v>
      </c>
      <c r="K885">
        <v>4252</v>
      </c>
      <c r="L885">
        <v>1418</v>
      </c>
      <c r="M885">
        <v>407169</v>
      </c>
      <c r="N885">
        <v>457839</v>
      </c>
      <c r="O885">
        <v>1359</v>
      </c>
      <c r="P885">
        <v>1640422</v>
      </c>
      <c r="Q885">
        <v>13.84</v>
      </c>
      <c r="R885">
        <v>25941316</v>
      </c>
      <c r="S885">
        <v>65197</v>
      </c>
      <c r="T885">
        <v>9758559</v>
      </c>
      <c r="U885">
        <v>78.02</v>
      </c>
      <c r="V885">
        <v>3.6</v>
      </c>
      <c r="W885">
        <v>2876</v>
      </c>
      <c r="X885">
        <v>1.92</v>
      </c>
      <c r="Y885">
        <v>62.96</v>
      </c>
    </row>
    <row r="886" spans="1:25" x14ac:dyDescent="0.3">
      <c r="A886" t="s">
        <v>25</v>
      </c>
      <c r="B886" t="s">
        <v>34</v>
      </c>
      <c r="C886" t="s">
        <v>38</v>
      </c>
      <c r="D886" s="1">
        <v>45081</v>
      </c>
      <c r="E886">
        <v>38002833</v>
      </c>
      <c r="F886">
        <v>11138</v>
      </c>
      <c r="G886">
        <v>27.1</v>
      </c>
      <c r="H886">
        <v>44169</v>
      </c>
      <c r="I886">
        <v>872806</v>
      </c>
      <c r="J886">
        <v>15893</v>
      </c>
      <c r="K886">
        <v>20611</v>
      </c>
      <c r="L886">
        <v>1497</v>
      </c>
      <c r="M886">
        <v>127099</v>
      </c>
      <c r="N886">
        <v>412639</v>
      </c>
      <c r="O886">
        <v>3774</v>
      </c>
      <c r="P886">
        <v>1860339</v>
      </c>
      <c r="Q886">
        <v>13.88</v>
      </c>
      <c r="R886">
        <v>47125859</v>
      </c>
      <c r="S886">
        <v>39033798</v>
      </c>
      <c r="T886">
        <v>10245168</v>
      </c>
      <c r="U886">
        <v>75.59</v>
      </c>
      <c r="V886">
        <v>7.96</v>
      </c>
      <c r="W886">
        <v>1267</v>
      </c>
      <c r="X886">
        <v>0.82</v>
      </c>
      <c r="Y886">
        <v>66.010000000000005</v>
      </c>
    </row>
    <row r="887" spans="1:25" x14ac:dyDescent="0.3">
      <c r="A887" t="s">
        <v>31</v>
      </c>
      <c r="B887" t="s">
        <v>34</v>
      </c>
      <c r="C887" t="s">
        <v>37</v>
      </c>
      <c r="D887" s="1">
        <v>45082</v>
      </c>
      <c r="E887">
        <v>34179364</v>
      </c>
      <c r="F887">
        <v>3153</v>
      </c>
      <c r="G887">
        <v>30.8</v>
      </c>
      <c r="H887">
        <v>52742</v>
      </c>
      <c r="I887">
        <v>45912</v>
      </c>
      <c r="J887">
        <v>45857</v>
      </c>
      <c r="K887">
        <v>49242</v>
      </c>
      <c r="L887">
        <v>1040</v>
      </c>
      <c r="M887">
        <v>678563</v>
      </c>
      <c r="N887">
        <v>184386</v>
      </c>
      <c r="O887">
        <v>5417</v>
      </c>
      <c r="P887">
        <v>68573</v>
      </c>
      <c r="Q887">
        <v>16.309999999999999</v>
      </c>
      <c r="R887">
        <v>9801817</v>
      </c>
      <c r="S887">
        <v>16065477</v>
      </c>
      <c r="T887">
        <v>4420047</v>
      </c>
      <c r="U887">
        <v>81.36</v>
      </c>
      <c r="V887">
        <v>9.0500000000000007</v>
      </c>
      <c r="W887">
        <v>3102</v>
      </c>
      <c r="X887">
        <v>2.58</v>
      </c>
      <c r="Y887">
        <v>73.37</v>
      </c>
    </row>
    <row r="888" spans="1:25" x14ac:dyDescent="0.3">
      <c r="A888" t="s">
        <v>29</v>
      </c>
      <c r="B888" t="s">
        <v>36</v>
      </c>
      <c r="C888" t="s">
        <v>38</v>
      </c>
      <c r="D888" s="1">
        <v>45083</v>
      </c>
      <c r="E888">
        <v>25933907</v>
      </c>
      <c r="F888">
        <v>2490</v>
      </c>
      <c r="G888">
        <v>44</v>
      </c>
      <c r="H888">
        <v>41522</v>
      </c>
      <c r="I888">
        <v>13879</v>
      </c>
      <c r="J888">
        <v>16493</v>
      </c>
      <c r="K888">
        <v>19126</v>
      </c>
      <c r="L888">
        <v>727</v>
      </c>
      <c r="M888">
        <v>190593</v>
      </c>
      <c r="N888">
        <v>280241</v>
      </c>
      <c r="O888">
        <v>4927</v>
      </c>
      <c r="P888">
        <v>654761</v>
      </c>
      <c r="Q888">
        <v>20.13</v>
      </c>
      <c r="R888">
        <v>42177577</v>
      </c>
      <c r="S888">
        <v>16364483</v>
      </c>
      <c r="T888">
        <v>20134243</v>
      </c>
      <c r="U888">
        <v>0.45</v>
      </c>
      <c r="V888">
        <v>2.58</v>
      </c>
      <c r="W888">
        <v>363</v>
      </c>
      <c r="X888">
        <v>2.33</v>
      </c>
      <c r="Y888">
        <v>89.71</v>
      </c>
    </row>
    <row r="889" spans="1:25" x14ac:dyDescent="0.3">
      <c r="A889" t="s">
        <v>29</v>
      </c>
      <c r="B889" t="s">
        <v>34</v>
      </c>
      <c r="C889" t="s">
        <v>38</v>
      </c>
      <c r="D889" s="1">
        <v>45084</v>
      </c>
      <c r="E889">
        <v>49896072</v>
      </c>
      <c r="F889">
        <v>7174</v>
      </c>
      <c r="G889">
        <v>18.399999999999999</v>
      </c>
      <c r="H889">
        <v>4880</v>
      </c>
      <c r="I889">
        <v>559086</v>
      </c>
      <c r="J889">
        <v>3632</v>
      </c>
      <c r="K889">
        <v>35487</v>
      </c>
      <c r="L889">
        <v>1115</v>
      </c>
      <c r="M889">
        <v>74676</v>
      </c>
      <c r="N889">
        <v>121366</v>
      </c>
      <c r="O889">
        <v>4429</v>
      </c>
      <c r="P889">
        <v>468508</v>
      </c>
      <c r="Q889">
        <v>0.57999999999999996</v>
      </c>
      <c r="R889">
        <v>5416300</v>
      </c>
      <c r="S889">
        <v>5715278</v>
      </c>
      <c r="T889">
        <v>7314257</v>
      </c>
      <c r="U889">
        <v>50.12</v>
      </c>
      <c r="V889">
        <v>6.44</v>
      </c>
      <c r="W889">
        <v>779</v>
      </c>
      <c r="X889">
        <v>4.99</v>
      </c>
      <c r="Y889">
        <v>43.26</v>
      </c>
    </row>
    <row r="890" spans="1:25" x14ac:dyDescent="0.3">
      <c r="A890" t="s">
        <v>30</v>
      </c>
      <c r="B890" t="s">
        <v>36</v>
      </c>
      <c r="C890" t="s">
        <v>39</v>
      </c>
      <c r="D890" s="1">
        <v>45085</v>
      </c>
      <c r="E890">
        <v>44194538</v>
      </c>
      <c r="F890">
        <v>17278</v>
      </c>
      <c r="G890">
        <v>38.799999999999997</v>
      </c>
      <c r="H890">
        <v>44454</v>
      </c>
      <c r="I890">
        <v>633079</v>
      </c>
      <c r="J890">
        <v>30336</v>
      </c>
      <c r="K890">
        <v>30792</v>
      </c>
      <c r="L890">
        <v>482</v>
      </c>
      <c r="M890">
        <v>95299</v>
      </c>
      <c r="N890">
        <v>450319</v>
      </c>
      <c r="O890">
        <v>4606</v>
      </c>
      <c r="P890">
        <v>1040970</v>
      </c>
      <c r="Q890">
        <v>15.06</v>
      </c>
      <c r="R890">
        <v>41406233</v>
      </c>
      <c r="S890">
        <v>5534048</v>
      </c>
      <c r="T890">
        <v>12485581</v>
      </c>
      <c r="U890">
        <v>70.48</v>
      </c>
      <c r="V890">
        <v>4.2300000000000004</v>
      </c>
      <c r="W890">
        <v>4089</v>
      </c>
      <c r="X890">
        <v>3.09</v>
      </c>
      <c r="Y890">
        <v>16.64</v>
      </c>
    </row>
    <row r="891" spans="1:25" x14ac:dyDescent="0.3">
      <c r="A891" t="s">
        <v>29</v>
      </c>
      <c r="B891" t="s">
        <v>36</v>
      </c>
      <c r="C891" t="s">
        <v>38</v>
      </c>
      <c r="D891" s="1">
        <v>45086</v>
      </c>
      <c r="E891">
        <v>40335189</v>
      </c>
      <c r="F891">
        <v>14081</v>
      </c>
      <c r="G891">
        <v>39.4</v>
      </c>
      <c r="H891">
        <v>56711</v>
      </c>
      <c r="I891">
        <v>484042</v>
      </c>
      <c r="J891">
        <v>23112</v>
      </c>
      <c r="K891">
        <v>45569</v>
      </c>
      <c r="L891">
        <v>542</v>
      </c>
      <c r="M891">
        <v>623173</v>
      </c>
      <c r="N891">
        <v>3779</v>
      </c>
      <c r="O891">
        <v>4478</v>
      </c>
      <c r="P891">
        <v>1226974</v>
      </c>
      <c r="Q891">
        <v>17.649999999999999</v>
      </c>
      <c r="R891">
        <v>16910623</v>
      </c>
      <c r="S891">
        <v>5706419</v>
      </c>
      <c r="T891">
        <v>11818141</v>
      </c>
      <c r="U891">
        <v>15.54</v>
      </c>
      <c r="V891">
        <v>9.9</v>
      </c>
      <c r="W891">
        <v>433</v>
      </c>
      <c r="X891">
        <v>3.95</v>
      </c>
      <c r="Y891">
        <v>31.89</v>
      </c>
    </row>
    <row r="892" spans="1:25" x14ac:dyDescent="0.3">
      <c r="A892" t="s">
        <v>28</v>
      </c>
      <c r="B892" t="s">
        <v>34</v>
      </c>
      <c r="C892" t="s">
        <v>38</v>
      </c>
      <c r="D892" s="1">
        <v>45087</v>
      </c>
      <c r="E892">
        <v>40839104</v>
      </c>
      <c r="F892">
        <v>14586</v>
      </c>
      <c r="G892">
        <v>43.6</v>
      </c>
      <c r="H892">
        <v>44539</v>
      </c>
      <c r="I892">
        <v>702433</v>
      </c>
      <c r="J892">
        <v>38452</v>
      </c>
      <c r="K892">
        <v>49829</v>
      </c>
      <c r="L892">
        <v>1228</v>
      </c>
      <c r="M892">
        <v>760442</v>
      </c>
      <c r="N892">
        <v>488341</v>
      </c>
      <c r="O892">
        <v>1896</v>
      </c>
      <c r="P892">
        <v>346123</v>
      </c>
      <c r="Q892">
        <v>10.3</v>
      </c>
      <c r="R892">
        <v>1674842</v>
      </c>
      <c r="S892">
        <v>21781154</v>
      </c>
      <c r="T892">
        <v>7512129</v>
      </c>
      <c r="U892">
        <v>64.98</v>
      </c>
      <c r="V892">
        <v>5.05</v>
      </c>
      <c r="W892">
        <v>1862</v>
      </c>
      <c r="X892">
        <v>1.74</v>
      </c>
      <c r="Y892">
        <v>43.22</v>
      </c>
    </row>
    <row r="893" spans="1:25" x14ac:dyDescent="0.3">
      <c r="A893" t="s">
        <v>27</v>
      </c>
      <c r="B893" t="s">
        <v>32</v>
      </c>
      <c r="C893" t="s">
        <v>41</v>
      </c>
      <c r="D893" s="1">
        <v>45088</v>
      </c>
      <c r="E893">
        <v>21155025</v>
      </c>
      <c r="F893">
        <v>496</v>
      </c>
      <c r="G893">
        <v>47.8</v>
      </c>
      <c r="H893">
        <v>69321</v>
      </c>
      <c r="I893">
        <v>338935</v>
      </c>
      <c r="J893">
        <v>13266</v>
      </c>
      <c r="K893">
        <v>18890</v>
      </c>
      <c r="L893">
        <v>1525</v>
      </c>
      <c r="M893">
        <v>89419</v>
      </c>
      <c r="N893">
        <v>40408</v>
      </c>
      <c r="O893">
        <v>7366</v>
      </c>
      <c r="P893">
        <v>1018232</v>
      </c>
      <c r="Q893">
        <v>20.05</v>
      </c>
      <c r="R893">
        <v>22483424</v>
      </c>
      <c r="S893">
        <v>32363126</v>
      </c>
      <c r="T893">
        <v>12982220</v>
      </c>
      <c r="U893">
        <v>8.41</v>
      </c>
      <c r="V893">
        <v>2.67</v>
      </c>
      <c r="W893">
        <v>2374</v>
      </c>
      <c r="X893">
        <v>4.17</v>
      </c>
      <c r="Y893">
        <v>71.39</v>
      </c>
    </row>
    <row r="894" spans="1:25" x14ac:dyDescent="0.3">
      <c r="A894" t="s">
        <v>27</v>
      </c>
      <c r="B894" t="s">
        <v>32</v>
      </c>
      <c r="C894" t="s">
        <v>39</v>
      </c>
      <c r="D894" s="1">
        <v>45089</v>
      </c>
      <c r="E894">
        <v>22153925</v>
      </c>
      <c r="F894">
        <v>3965</v>
      </c>
      <c r="G894">
        <v>18.600000000000001</v>
      </c>
      <c r="H894">
        <v>15799</v>
      </c>
      <c r="I894">
        <v>854415</v>
      </c>
      <c r="J894">
        <v>16940</v>
      </c>
      <c r="K894">
        <v>3509</v>
      </c>
      <c r="L894">
        <v>930</v>
      </c>
      <c r="M894">
        <v>606250</v>
      </c>
      <c r="N894">
        <v>206196</v>
      </c>
      <c r="O894">
        <v>4427</v>
      </c>
      <c r="P894">
        <v>791555</v>
      </c>
      <c r="Q894">
        <v>6.85</v>
      </c>
      <c r="R894">
        <v>48478844</v>
      </c>
      <c r="S894">
        <v>34654532</v>
      </c>
      <c r="T894">
        <v>18778970</v>
      </c>
      <c r="U894">
        <v>18.13</v>
      </c>
      <c r="V894">
        <v>4.13</v>
      </c>
      <c r="W894">
        <v>3479</v>
      </c>
      <c r="X894">
        <v>3.11</v>
      </c>
      <c r="Y894">
        <v>1.31</v>
      </c>
    </row>
    <row r="895" spans="1:25" x14ac:dyDescent="0.3">
      <c r="A895" t="s">
        <v>25</v>
      </c>
      <c r="B895" t="s">
        <v>36</v>
      </c>
      <c r="C895" t="s">
        <v>40</v>
      </c>
      <c r="D895" s="1">
        <v>45090</v>
      </c>
      <c r="E895">
        <v>48123905</v>
      </c>
      <c r="F895">
        <v>15837</v>
      </c>
      <c r="G895">
        <v>22.9</v>
      </c>
      <c r="H895">
        <v>61102</v>
      </c>
      <c r="I895">
        <v>961509</v>
      </c>
      <c r="J895">
        <v>24003</v>
      </c>
      <c r="K895">
        <v>31597</v>
      </c>
      <c r="L895">
        <v>399</v>
      </c>
      <c r="M895">
        <v>179840</v>
      </c>
      <c r="N895">
        <v>171014</v>
      </c>
      <c r="O895">
        <v>5361</v>
      </c>
      <c r="P895">
        <v>279747</v>
      </c>
      <c r="Q895">
        <v>9.52</v>
      </c>
      <c r="R895">
        <v>655860</v>
      </c>
      <c r="S895">
        <v>1747844</v>
      </c>
      <c r="T895">
        <v>2753082</v>
      </c>
      <c r="U895">
        <v>47.58</v>
      </c>
      <c r="V895">
        <v>6.71</v>
      </c>
      <c r="W895">
        <v>2795</v>
      </c>
      <c r="X895">
        <v>3.52</v>
      </c>
      <c r="Y895">
        <v>31.58</v>
      </c>
    </row>
    <row r="896" spans="1:25" x14ac:dyDescent="0.3">
      <c r="A896" t="s">
        <v>31</v>
      </c>
      <c r="B896" t="s">
        <v>34</v>
      </c>
      <c r="C896" t="s">
        <v>37</v>
      </c>
      <c r="D896" s="1">
        <v>45091</v>
      </c>
      <c r="E896">
        <v>32790830</v>
      </c>
      <c r="F896">
        <v>19543</v>
      </c>
      <c r="G896">
        <v>46.4</v>
      </c>
      <c r="H896">
        <v>51726</v>
      </c>
      <c r="I896">
        <v>488947</v>
      </c>
      <c r="J896">
        <v>32872</v>
      </c>
      <c r="K896">
        <v>44468</v>
      </c>
      <c r="L896">
        <v>1230</v>
      </c>
      <c r="M896">
        <v>690108</v>
      </c>
      <c r="N896">
        <v>458724</v>
      </c>
      <c r="O896">
        <v>9091</v>
      </c>
      <c r="P896">
        <v>329085</v>
      </c>
      <c r="Q896">
        <v>28.88</v>
      </c>
      <c r="R896">
        <v>5891709</v>
      </c>
      <c r="S896">
        <v>38151312</v>
      </c>
      <c r="T896">
        <v>11415348</v>
      </c>
      <c r="U896">
        <v>65.36</v>
      </c>
      <c r="V896">
        <v>1.22</v>
      </c>
      <c r="W896">
        <v>1914</v>
      </c>
      <c r="X896">
        <v>1.54</v>
      </c>
      <c r="Y896">
        <v>77.98</v>
      </c>
    </row>
    <row r="897" spans="1:25" x14ac:dyDescent="0.3">
      <c r="A897" t="s">
        <v>30</v>
      </c>
      <c r="B897" t="s">
        <v>32</v>
      </c>
      <c r="C897" t="s">
        <v>38</v>
      </c>
      <c r="D897" s="1">
        <v>45092</v>
      </c>
      <c r="E897">
        <v>45673471</v>
      </c>
      <c r="F897">
        <v>17668</v>
      </c>
      <c r="G897">
        <v>32.700000000000003</v>
      </c>
      <c r="H897">
        <v>49784</v>
      </c>
      <c r="I897">
        <v>659210</v>
      </c>
      <c r="J897">
        <v>34815</v>
      </c>
      <c r="K897">
        <v>26030</v>
      </c>
      <c r="L897">
        <v>618</v>
      </c>
      <c r="M897">
        <v>31659</v>
      </c>
      <c r="N897">
        <v>462848</v>
      </c>
      <c r="O897">
        <v>641</v>
      </c>
      <c r="P897">
        <v>43597</v>
      </c>
      <c r="Q897">
        <v>10.44</v>
      </c>
      <c r="R897">
        <v>11757619</v>
      </c>
      <c r="S897">
        <v>17060608</v>
      </c>
      <c r="T897">
        <v>15532339</v>
      </c>
      <c r="U897">
        <v>14.59</v>
      </c>
      <c r="V897">
        <v>6.23</v>
      </c>
      <c r="W897">
        <v>3341</v>
      </c>
      <c r="X897">
        <v>2.79</v>
      </c>
      <c r="Y897">
        <v>67.09</v>
      </c>
    </row>
    <row r="898" spans="1:25" x14ac:dyDescent="0.3">
      <c r="A898" t="s">
        <v>31</v>
      </c>
      <c r="B898" t="s">
        <v>34</v>
      </c>
      <c r="C898" t="s">
        <v>37</v>
      </c>
      <c r="D898" s="1">
        <v>45093</v>
      </c>
      <c r="E898">
        <v>3092316</v>
      </c>
      <c r="F898">
        <v>6637</v>
      </c>
      <c r="G898">
        <v>36.1</v>
      </c>
      <c r="H898">
        <v>44333</v>
      </c>
      <c r="I898">
        <v>160472</v>
      </c>
      <c r="J898">
        <v>30869</v>
      </c>
      <c r="K898">
        <v>8090</v>
      </c>
      <c r="L898">
        <v>1169</v>
      </c>
      <c r="M898">
        <v>42539</v>
      </c>
      <c r="N898">
        <v>447254</v>
      </c>
      <c r="O898">
        <v>5346</v>
      </c>
      <c r="P898">
        <v>1768174</v>
      </c>
      <c r="Q898">
        <v>10.4</v>
      </c>
      <c r="R898">
        <v>45883283</v>
      </c>
      <c r="S898">
        <v>7606436</v>
      </c>
      <c r="T898">
        <v>3599696</v>
      </c>
      <c r="U898">
        <v>18.52</v>
      </c>
      <c r="V898">
        <v>9.35</v>
      </c>
      <c r="W898">
        <v>4896</v>
      </c>
      <c r="X898">
        <v>3.21</v>
      </c>
      <c r="Y898">
        <v>73.17</v>
      </c>
    </row>
    <row r="899" spans="1:25" x14ac:dyDescent="0.3">
      <c r="A899" t="s">
        <v>29</v>
      </c>
      <c r="B899" t="s">
        <v>34</v>
      </c>
      <c r="C899" t="s">
        <v>40</v>
      </c>
      <c r="D899" s="1">
        <v>45094</v>
      </c>
      <c r="E899">
        <v>33765940</v>
      </c>
      <c r="F899">
        <v>276</v>
      </c>
      <c r="G899">
        <v>39.200000000000003</v>
      </c>
      <c r="H899">
        <v>41828</v>
      </c>
      <c r="I899">
        <v>799385</v>
      </c>
      <c r="J899">
        <v>49297</v>
      </c>
      <c r="K899">
        <v>23217</v>
      </c>
      <c r="L899">
        <v>878</v>
      </c>
      <c r="M899">
        <v>757762</v>
      </c>
      <c r="N899">
        <v>5795</v>
      </c>
      <c r="O899">
        <v>4729</v>
      </c>
      <c r="P899">
        <v>871670</v>
      </c>
      <c r="Q899">
        <v>17.87</v>
      </c>
      <c r="R899">
        <v>6503784</v>
      </c>
      <c r="S899">
        <v>16786228</v>
      </c>
      <c r="T899">
        <v>20254366</v>
      </c>
      <c r="U899">
        <v>20.440000000000001</v>
      </c>
      <c r="V899">
        <v>8.58</v>
      </c>
      <c r="W899">
        <v>277</v>
      </c>
      <c r="X899">
        <v>2.99</v>
      </c>
      <c r="Y899">
        <v>81.180000000000007</v>
      </c>
    </row>
    <row r="900" spans="1:25" x14ac:dyDescent="0.3">
      <c r="A900" t="s">
        <v>25</v>
      </c>
      <c r="B900" t="s">
        <v>34</v>
      </c>
      <c r="C900" t="s">
        <v>37</v>
      </c>
      <c r="D900" s="1">
        <v>45095</v>
      </c>
      <c r="E900">
        <v>39950157</v>
      </c>
      <c r="F900">
        <v>11201</v>
      </c>
      <c r="G900">
        <v>39.700000000000003</v>
      </c>
      <c r="H900">
        <v>55362</v>
      </c>
      <c r="I900">
        <v>631698</v>
      </c>
      <c r="J900">
        <v>17257</v>
      </c>
      <c r="K900">
        <v>33967</v>
      </c>
      <c r="L900">
        <v>100</v>
      </c>
      <c r="M900">
        <v>48300</v>
      </c>
      <c r="N900">
        <v>226912</v>
      </c>
      <c r="O900">
        <v>3627</v>
      </c>
      <c r="P900">
        <v>436935</v>
      </c>
      <c r="Q900">
        <v>29.13</v>
      </c>
      <c r="R900">
        <v>25564583</v>
      </c>
      <c r="S900">
        <v>25511762</v>
      </c>
      <c r="T900">
        <v>28025614</v>
      </c>
      <c r="U900">
        <v>23.87</v>
      </c>
      <c r="V900">
        <v>1.1399999999999999</v>
      </c>
      <c r="W900">
        <v>2114</v>
      </c>
      <c r="X900">
        <v>4.58</v>
      </c>
      <c r="Y900">
        <v>78.319999999999993</v>
      </c>
    </row>
    <row r="901" spans="1:25" x14ac:dyDescent="0.3">
      <c r="A901" t="s">
        <v>31</v>
      </c>
      <c r="B901" t="s">
        <v>35</v>
      </c>
      <c r="C901" t="s">
        <v>40</v>
      </c>
      <c r="D901" s="1">
        <v>45096</v>
      </c>
      <c r="E901">
        <v>39493189</v>
      </c>
      <c r="F901">
        <v>5608</v>
      </c>
      <c r="G901">
        <v>47.8</v>
      </c>
      <c r="H901">
        <v>54997</v>
      </c>
      <c r="I901">
        <v>650443</v>
      </c>
      <c r="J901">
        <v>16682</v>
      </c>
      <c r="K901">
        <v>13918</v>
      </c>
      <c r="L901">
        <v>879</v>
      </c>
      <c r="M901">
        <v>303405</v>
      </c>
      <c r="N901">
        <v>58599</v>
      </c>
      <c r="O901">
        <v>6594</v>
      </c>
      <c r="P901">
        <v>1796722</v>
      </c>
      <c r="Q901">
        <v>29.49</v>
      </c>
      <c r="R901">
        <v>19909306</v>
      </c>
      <c r="S901">
        <v>11297291</v>
      </c>
      <c r="T901">
        <v>25260152</v>
      </c>
      <c r="U901">
        <v>22.66</v>
      </c>
      <c r="V901">
        <v>9.94</v>
      </c>
      <c r="W901">
        <v>61</v>
      </c>
      <c r="X901">
        <v>4.5</v>
      </c>
      <c r="Y901">
        <v>68.22</v>
      </c>
    </row>
    <row r="902" spans="1:25" x14ac:dyDescent="0.3">
      <c r="A902" t="s">
        <v>28</v>
      </c>
      <c r="B902" t="s">
        <v>34</v>
      </c>
      <c r="C902" t="s">
        <v>41</v>
      </c>
      <c r="D902" s="1">
        <v>45097</v>
      </c>
      <c r="E902">
        <v>29642589</v>
      </c>
      <c r="F902">
        <v>12021</v>
      </c>
      <c r="G902">
        <v>49.9</v>
      </c>
      <c r="H902">
        <v>51341</v>
      </c>
      <c r="I902">
        <v>155607</v>
      </c>
      <c r="J902">
        <v>19622</v>
      </c>
      <c r="K902">
        <v>30662</v>
      </c>
      <c r="L902">
        <v>829</v>
      </c>
      <c r="M902">
        <v>619414</v>
      </c>
      <c r="N902">
        <v>23482</v>
      </c>
      <c r="O902">
        <v>8387</v>
      </c>
      <c r="P902">
        <v>1353471</v>
      </c>
      <c r="Q902">
        <v>17.39</v>
      </c>
      <c r="R902">
        <v>29297868</v>
      </c>
      <c r="S902">
        <v>37588019</v>
      </c>
      <c r="T902">
        <v>18744061</v>
      </c>
      <c r="U902">
        <v>39.51</v>
      </c>
      <c r="V902">
        <v>7.14</v>
      </c>
      <c r="W902">
        <v>1572</v>
      </c>
      <c r="X902">
        <v>4.8600000000000003</v>
      </c>
      <c r="Y902">
        <v>43.97</v>
      </c>
    </row>
    <row r="903" spans="1:25" x14ac:dyDescent="0.3">
      <c r="A903" t="s">
        <v>27</v>
      </c>
      <c r="B903" t="s">
        <v>35</v>
      </c>
      <c r="C903" t="s">
        <v>38</v>
      </c>
      <c r="D903" s="1">
        <v>45098</v>
      </c>
      <c r="E903">
        <v>43838325</v>
      </c>
      <c r="F903">
        <v>236</v>
      </c>
      <c r="G903">
        <v>41</v>
      </c>
      <c r="H903">
        <v>20073</v>
      </c>
      <c r="I903">
        <v>731896</v>
      </c>
      <c r="J903">
        <v>30408</v>
      </c>
      <c r="K903">
        <v>30354</v>
      </c>
      <c r="L903">
        <v>1903</v>
      </c>
      <c r="M903">
        <v>479819</v>
      </c>
      <c r="N903">
        <v>276479</v>
      </c>
      <c r="O903">
        <v>3275</v>
      </c>
      <c r="P903">
        <v>1962470</v>
      </c>
      <c r="Q903">
        <v>0.03</v>
      </c>
      <c r="R903">
        <v>9795499</v>
      </c>
      <c r="S903">
        <v>9403024</v>
      </c>
      <c r="T903">
        <v>18476435</v>
      </c>
      <c r="U903">
        <v>65.38</v>
      </c>
      <c r="V903">
        <v>2.04</v>
      </c>
      <c r="W903">
        <v>741</v>
      </c>
      <c r="X903">
        <v>3.37</v>
      </c>
      <c r="Y903">
        <v>98.36</v>
      </c>
    </row>
    <row r="904" spans="1:25" x14ac:dyDescent="0.3">
      <c r="A904" t="s">
        <v>29</v>
      </c>
      <c r="B904" t="s">
        <v>36</v>
      </c>
      <c r="C904" t="s">
        <v>40</v>
      </c>
      <c r="D904" s="1">
        <v>45099</v>
      </c>
      <c r="E904">
        <v>47119069</v>
      </c>
      <c r="F904">
        <v>14730</v>
      </c>
      <c r="G904">
        <v>27.2</v>
      </c>
      <c r="H904">
        <v>15549</v>
      </c>
      <c r="I904">
        <v>469255</v>
      </c>
      <c r="J904">
        <v>8837</v>
      </c>
      <c r="K904">
        <v>25044</v>
      </c>
      <c r="L904">
        <v>1264</v>
      </c>
      <c r="M904">
        <v>118868</v>
      </c>
      <c r="N904">
        <v>193395</v>
      </c>
      <c r="O904">
        <v>4050</v>
      </c>
      <c r="P904">
        <v>87978</v>
      </c>
      <c r="Q904">
        <v>27.02</v>
      </c>
      <c r="R904">
        <v>47830631</v>
      </c>
      <c r="S904">
        <v>22924414</v>
      </c>
      <c r="T904">
        <v>18064132</v>
      </c>
      <c r="U904">
        <v>43.8</v>
      </c>
      <c r="V904">
        <v>0.62</v>
      </c>
      <c r="W904">
        <v>3755</v>
      </c>
      <c r="X904">
        <v>4.8600000000000003</v>
      </c>
      <c r="Y904">
        <v>56.91</v>
      </c>
    </row>
    <row r="905" spans="1:25" x14ac:dyDescent="0.3">
      <c r="A905" t="s">
        <v>25</v>
      </c>
      <c r="B905" t="s">
        <v>32</v>
      </c>
      <c r="C905" t="s">
        <v>37</v>
      </c>
      <c r="D905" s="1">
        <v>45100</v>
      </c>
      <c r="E905">
        <v>28588529</v>
      </c>
      <c r="F905">
        <v>14609</v>
      </c>
      <c r="G905">
        <v>46.2</v>
      </c>
      <c r="H905">
        <v>57920</v>
      </c>
      <c r="I905">
        <v>253712</v>
      </c>
      <c r="J905">
        <v>15407</v>
      </c>
      <c r="K905">
        <v>25798</v>
      </c>
      <c r="L905">
        <v>1946</v>
      </c>
      <c r="M905">
        <v>699523</v>
      </c>
      <c r="N905">
        <v>133538</v>
      </c>
      <c r="O905">
        <v>4553</v>
      </c>
      <c r="P905">
        <v>1329413</v>
      </c>
      <c r="Q905">
        <v>17.11</v>
      </c>
      <c r="R905">
        <v>13327988</v>
      </c>
      <c r="S905">
        <v>36354320</v>
      </c>
      <c r="T905">
        <v>22306438</v>
      </c>
      <c r="U905">
        <v>77.599999999999994</v>
      </c>
      <c r="V905">
        <v>2.13</v>
      </c>
      <c r="W905">
        <v>1789</v>
      </c>
      <c r="X905">
        <v>4.18</v>
      </c>
      <c r="Y905">
        <v>20.28</v>
      </c>
    </row>
    <row r="906" spans="1:25" x14ac:dyDescent="0.3">
      <c r="A906" t="s">
        <v>31</v>
      </c>
      <c r="B906" t="s">
        <v>32</v>
      </c>
      <c r="C906" t="s">
        <v>38</v>
      </c>
      <c r="D906" s="1">
        <v>45101</v>
      </c>
      <c r="E906">
        <v>36719181</v>
      </c>
      <c r="F906">
        <v>11119</v>
      </c>
      <c r="G906">
        <v>19.600000000000001</v>
      </c>
      <c r="H906">
        <v>21316</v>
      </c>
      <c r="I906">
        <v>868461</v>
      </c>
      <c r="J906">
        <v>29309</v>
      </c>
      <c r="K906">
        <v>12761</v>
      </c>
      <c r="L906">
        <v>758</v>
      </c>
      <c r="M906">
        <v>605691</v>
      </c>
      <c r="N906">
        <v>158639</v>
      </c>
      <c r="O906">
        <v>4925</v>
      </c>
      <c r="P906">
        <v>1532333</v>
      </c>
      <c r="Q906">
        <v>10.98</v>
      </c>
      <c r="R906">
        <v>530901</v>
      </c>
      <c r="S906">
        <v>8291514</v>
      </c>
      <c r="T906">
        <v>8449809</v>
      </c>
      <c r="U906">
        <v>71.930000000000007</v>
      </c>
      <c r="V906">
        <v>8.4600000000000009</v>
      </c>
      <c r="W906">
        <v>1575</v>
      </c>
      <c r="X906">
        <v>1.43</v>
      </c>
      <c r="Y906">
        <v>29.28</v>
      </c>
    </row>
    <row r="907" spans="1:25" x14ac:dyDescent="0.3">
      <c r="A907" t="s">
        <v>30</v>
      </c>
      <c r="B907" t="s">
        <v>32</v>
      </c>
      <c r="C907" t="s">
        <v>41</v>
      </c>
      <c r="D907" s="1">
        <v>45102</v>
      </c>
      <c r="E907">
        <v>47491244</v>
      </c>
      <c r="F907">
        <v>2585</v>
      </c>
      <c r="G907">
        <v>25.4</v>
      </c>
      <c r="H907">
        <v>27183</v>
      </c>
      <c r="I907">
        <v>5055</v>
      </c>
      <c r="J907">
        <v>6382</v>
      </c>
      <c r="K907">
        <v>47492</v>
      </c>
      <c r="L907">
        <v>162</v>
      </c>
      <c r="M907">
        <v>119498</v>
      </c>
      <c r="N907">
        <v>452632</v>
      </c>
      <c r="O907">
        <v>2304</v>
      </c>
      <c r="P907">
        <v>1218345</v>
      </c>
      <c r="Q907">
        <v>24.88</v>
      </c>
      <c r="R907">
        <v>38645201</v>
      </c>
      <c r="S907">
        <v>15737858</v>
      </c>
      <c r="T907">
        <v>23404087</v>
      </c>
      <c r="U907">
        <v>12.65</v>
      </c>
      <c r="V907">
        <v>0.71</v>
      </c>
      <c r="W907">
        <v>119</v>
      </c>
      <c r="X907">
        <v>2.19</v>
      </c>
      <c r="Y907">
        <v>69.36</v>
      </c>
    </row>
    <row r="908" spans="1:25" x14ac:dyDescent="0.3">
      <c r="A908" t="s">
        <v>28</v>
      </c>
      <c r="B908" t="s">
        <v>32</v>
      </c>
      <c r="C908" t="s">
        <v>38</v>
      </c>
      <c r="D908" s="1">
        <v>45103</v>
      </c>
      <c r="E908">
        <v>24006142</v>
      </c>
      <c r="F908">
        <v>1982</v>
      </c>
      <c r="G908">
        <v>46.7</v>
      </c>
      <c r="H908">
        <v>25624</v>
      </c>
      <c r="I908">
        <v>301314</v>
      </c>
      <c r="J908">
        <v>27654</v>
      </c>
      <c r="K908">
        <v>33803</v>
      </c>
      <c r="L908">
        <v>1907</v>
      </c>
      <c r="M908">
        <v>241824</v>
      </c>
      <c r="N908">
        <v>374712</v>
      </c>
      <c r="O908">
        <v>3343</v>
      </c>
      <c r="P908">
        <v>357668</v>
      </c>
      <c r="Q908">
        <v>11.99</v>
      </c>
      <c r="R908">
        <v>28221020</v>
      </c>
      <c r="S908">
        <v>28595484</v>
      </c>
      <c r="T908">
        <v>23281482</v>
      </c>
      <c r="U908">
        <v>4.88</v>
      </c>
      <c r="V908">
        <v>2.71</v>
      </c>
      <c r="W908">
        <v>2298</v>
      </c>
      <c r="X908">
        <v>1.27</v>
      </c>
      <c r="Y908">
        <v>92.47</v>
      </c>
    </row>
    <row r="909" spans="1:25" x14ac:dyDescent="0.3">
      <c r="A909" t="s">
        <v>28</v>
      </c>
      <c r="B909" t="s">
        <v>32</v>
      </c>
      <c r="C909" t="s">
        <v>40</v>
      </c>
      <c r="D909" s="1">
        <v>45104</v>
      </c>
      <c r="E909">
        <v>41301245</v>
      </c>
      <c r="F909">
        <v>2082</v>
      </c>
      <c r="G909">
        <v>26.2</v>
      </c>
      <c r="H909">
        <v>63515</v>
      </c>
      <c r="I909">
        <v>230016</v>
      </c>
      <c r="J909">
        <v>18895</v>
      </c>
      <c r="K909">
        <v>32849</v>
      </c>
      <c r="L909">
        <v>1196</v>
      </c>
      <c r="M909">
        <v>510162</v>
      </c>
      <c r="N909">
        <v>6864</v>
      </c>
      <c r="O909">
        <v>2056</v>
      </c>
      <c r="P909">
        <v>361013</v>
      </c>
      <c r="Q909">
        <v>1.02</v>
      </c>
      <c r="R909">
        <v>17639850</v>
      </c>
      <c r="S909">
        <v>34623509</v>
      </c>
      <c r="T909">
        <v>2013279</v>
      </c>
      <c r="U909">
        <v>87.79</v>
      </c>
      <c r="V909">
        <v>7.69</v>
      </c>
      <c r="W909">
        <v>3173</v>
      </c>
      <c r="X909">
        <v>0.12</v>
      </c>
      <c r="Y909">
        <v>17.87</v>
      </c>
    </row>
    <row r="910" spans="1:25" x14ac:dyDescent="0.3">
      <c r="A910" t="s">
        <v>31</v>
      </c>
      <c r="B910" t="s">
        <v>32</v>
      </c>
      <c r="C910" t="s">
        <v>41</v>
      </c>
      <c r="D910" s="1">
        <v>45105</v>
      </c>
      <c r="E910">
        <v>20199205</v>
      </c>
      <c r="F910">
        <v>1302</v>
      </c>
      <c r="G910">
        <v>25.1</v>
      </c>
      <c r="H910">
        <v>47705</v>
      </c>
      <c r="I910">
        <v>763945</v>
      </c>
      <c r="J910">
        <v>33551</v>
      </c>
      <c r="K910">
        <v>38324</v>
      </c>
      <c r="L910">
        <v>501</v>
      </c>
      <c r="M910">
        <v>429083</v>
      </c>
      <c r="N910">
        <v>222068</v>
      </c>
      <c r="O910">
        <v>2808</v>
      </c>
      <c r="P910">
        <v>686352</v>
      </c>
      <c r="Q910">
        <v>24.63</v>
      </c>
      <c r="R910">
        <v>10380943</v>
      </c>
      <c r="S910">
        <v>4927653</v>
      </c>
      <c r="T910">
        <v>14036081</v>
      </c>
      <c r="U910">
        <v>7.98</v>
      </c>
      <c r="V910">
        <v>6.07</v>
      </c>
      <c r="W910">
        <v>4774</v>
      </c>
      <c r="X910">
        <v>1.02</v>
      </c>
      <c r="Y910">
        <v>8.23</v>
      </c>
    </row>
    <row r="911" spans="1:25" x14ac:dyDescent="0.3">
      <c r="A911" t="s">
        <v>27</v>
      </c>
      <c r="B911" t="s">
        <v>32</v>
      </c>
      <c r="C911" t="s">
        <v>37</v>
      </c>
      <c r="D911" s="1">
        <v>45106</v>
      </c>
      <c r="E911">
        <v>35038588</v>
      </c>
      <c r="F911">
        <v>5559</v>
      </c>
      <c r="G911">
        <v>22.4</v>
      </c>
      <c r="H911">
        <v>27756</v>
      </c>
      <c r="I911">
        <v>887408</v>
      </c>
      <c r="J911">
        <v>21376</v>
      </c>
      <c r="K911">
        <v>35463</v>
      </c>
      <c r="L911">
        <v>546</v>
      </c>
      <c r="M911">
        <v>514020</v>
      </c>
      <c r="N911">
        <v>113931</v>
      </c>
      <c r="O911">
        <v>7092</v>
      </c>
      <c r="P911">
        <v>1375545</v>
      </c>
      <c r="Q911">
        <v>16.38</v>
      </c>
      <c r="R911">
        <v>35125357</v>
      </c>
      <c r="S911">
        <v>26342876</v>
      </c>
      <c r="T911">
        <v>9123801</v>
      </c>
      <c r="U911">
        <v>14.83</v>
      </c>
      <c r="V911">
        <v>7.94</v>
      </c>
      <c r="W911">
        <v>3380</v>
      </c>
      <c r="X911">
        <v>0.12</v>
      </c>
      <c r="Y911">
        <v>88.15</v>
      </c>
    </row>
    <row r="912" spans="1:25" x14ac:dyDescent="0.3">
      <c r="A912" t="s">
        <v>31</v>
      </c>
      <c r="B912" t="s">
        <v>36</v>
      </c>
      <c r="C912" t="s">
        <v>41</v>
      </c>
      <c r="D912" s="1">
        <v>45107</v>
      </c>
      <c r="E912">
        <v>26529483</v>
      </c>
      <c r="F912">
        <v>5124</v>
      </c>
      <c r="G912">
        <v>45.5</v>
      </c>
      <c r="H912">
        <v>61390</v>
      </c>
      <c r="I912">
        <v>291395</v>
      </c>
      <c r="J912">
        <v>370</v>
      </c>
      <c r="K912">
        <v>9395</v>
      </c>
      <c r="L912">
        <v>1307</v>
      </c>
      <c r="M912">
        <v>322538</v>
      </c>
      <c r="N912">
        <v>61936</v>
      </c>
      <c r="O912">
        <v>9416</v>
      </c>
      <c r="P912">
        <v>665882</v>
      </c>
      <c r="Q912">
        <v>10.14</v>
      </c>
      <c r="R912">
        <v>29445794</v>
      </c>
      <c r="S912">
        <v>27486965</v>
      </c>
      <c r="T912">
        <v>27664228</v>
      </c>
      <c r="U912">
        <v>2.21</v>
      </c>
      <c r="V912">
        <v>7.59</v>
      </c>
      <c r="W912">
        <v>1337</v>
      </c>
      <c r="X912">
        <v>3.63</v>
      </c>
      <c r="Y912">
        <v>91.53</v>
      </c>
    </row>
    <row r="913" spans="1:25" x14ac:dyDescent="0.3">
      <c r="A913" t="s">
        <v>29</v>
      </c>
      <c r="B913" t="s">
        <v>34</v>
      </c>
      <c r="C913" t="s">
        <v>41</v>
      </c>
      <c r="D913" s="1">
        <v>45108</v>
      </c>
      <c r="E913">
        <v>30778124</v>
      </c>
      <c r="F913">
        <v>13950</v>
      </c>
      <c r="G913">
        <v>34</v>
      </c>
      <c r="H913">
        <v>69369</v>
      </c>
      <c r="I913">
        <v>923036</v>
      </c>
      <c r="J913">
        <v>48676</v>
      </c>
      <c r="K913">
        <v>18242</v>
      </c>
      <c r="L913">
        <v>1382</v>
      </c>
      <c r="M913">
        <v>233729</v>
      </c>
      <c r="N913">
        <v>294167</v>
      </c>
      <c r="O913">
        <v>7226</v>
      </c>
      <c r="P913">
        <v>1442195</v>
      </c>
      <c r="Q913">
        <v>7.53</v>
      </c>
      <c r="R913">
        <v>2643508</v>
      </c>
      <c r="S913">
        <v>10974020</v>
      </c>
      <c r="T913">
        <v>19776027</v>
      </c>
      <c r="U913">
        <v>62.83</v>
      </c>
      <c r="V913">
        <v>0.98</v>
      </c>
      <c r="W913">
        <v>625</v>
      </c>
      <c r="X913">
        <v>2.19</v>
      </c>
      <c r="Y913">
        <v>27.64</v>
      </c>
    </row>
    <row r="914" spans="1:25" x14ac:dyDescent="0.3">
      <c r="A914" t="s">
        <v>31</v>
      </c>
      <c r="B914" t="s">
        <v>33</v>
      </c>
      <c r="C914" t="s">
        <v>39</v>
      </c>
      <c r="D914" s="1">
        <v>45109</v>
      </c>
      <c r="E914">
        <v>13831690</v>
      </c>
      <c r="F914">
        <v>14573</v>
      </c>
      <c r="G914">
        <v>39.6</v>
      </c>
      <c r="H914">
        <v>10589</v>
      </c>
      <c r="I914">
        <v>661284</v>
      </c>
      <c r="J914">
        <v>486</v>
      </c>
      <c r="K914">
        <v>43354</v>
      </c>
      <c r="L914">
        <v>380</v>
      </c>
      <c r="M914">
        <v>838376</v>
      </c>
      <c r="N914">
        <v>255133</v>
      </c>
      <c r="O914">
        <v>886</v>
      </c>
      <c r="P914">
        <v>1881414</v>
      </c>
      <c r="Q914">
        <v>17.809999999999999</v>
      </c>
      <c r="R914">
        <v>17612705</v>
      </c>
      <c r="S914">
        <v>20358813</v>
      </c>
      <c r="T914">
        <v>25648945</v>
      </c>
      <c r="U914">
        <v>58.24</v>
      </c>
      <c r="V914">
        <v>8.98</v>
      </c>
      <c r="W914">
        <v>2222</v>
      </c>
      <c r="X914">
        <v>1.63</v>
      </c>
      <c r="Y914">
        <v>37.729999999999997</v>
      </c>
    </row>
    <row r="915" spans="1:25" x14ac:dyDescent="0.3">
      <c r="A915" t="s">
        <v>28</v>
      </c>
      <c r="B915" t="s">
        <v>35</v>
      </c>
      <c r="C915" t="s">
        <v>41</v>
      </c>
      <c r="D915" s="1">
        <v>45110</v>
      </c>
      <c r="E915">
        <v>11125643</v>
      </c>
      <c r="F915">
        <v>1931</v>
      </c>
      <c r="G915">
        <v>25.7</v>
      </c>
      <c r="H915">
        <v>15116</v>
      </c>
      <c r="I915">
        <v>49037</v>
      </c>
      <c r="J915">
        <v>23762</v>
      </c>
      <c r="K915">
        <v>34800</v>
      </c>
      <c r="L915">
        <v>869</v>
      </c>
      <c r="M915">
        <v>62248</v>
      </c>
      <c r="N915">
        <v>357955</v>
      </c>
      <c r="O915">
        <v>8584</v>
      </c>
      <c r="P915">
        <v>239078</v>
      </c>
      <c r="Q915">
        <v>6.24</v>
      </c>
      <c r="R915">
        <v>4999682</v>
      </c>
      <c r="S915">
        <v>13803510</v>
      </c>
      <c r="T915">
        <v>22120449</v>
      </c>
      <c r="U915">
        <v>98.69</v>
      </c>
      <c r="V915">
        <v>2.66</v>
      </c>
      <c r="W915">
        <v>794</v>
      </c>
      <c r="X915">
        <v>3.83</v>
      </c>
      <c r="Y915">
        <v>66.02</v>
      </c>
    </row>
    <row r="916" spans="1:25" x14ac:dyDescent="0.3">
      <c r="A916" t="s">
        <v>25</v>
      </c>
      <c r="B916" t="s">
        <v>33</v>
      </c>
      <c r="C916" t="s">
        <v>41</v>
      </c>
      <c r="D916" s="1">
        <v>45111</v>
      </c>
      <c r="E916">
        <v>46053994</v>
      </c>
      <c r="F916">
        <v>319</v>
      </c>
      <c r="G916">
        <v>42.3</v>
      </c>
      <c r="H916">
        <v>45786</v>
      </c>
      <c r="I916">
        <v>996586</v>
      </c>
      <c r="J916">
        <v>26613</v>
      </c>
      <c r="K916">
        <v>15841</v>
      </c>
      <c r="L916">
        <v>904</v>
      </c>
      <c r="M916">
        <v>41690</v>
      </c>
      <c r="N916">
        <v>16392</v>
      </c>
      <c r="O916">
        <v>9867</v>
      </c>
      <c r="P916">
        <v>1289716</v>
      </c>
      <c r="Q916">
        <v>9.7200000000000006</v>
      </c>
      <c r="R916">
        <v>11161667</v>
      </c>
      <c r="S916">
        <v>19071351</v>
      </c>
      <c r="T916">
        <v>3919059</v>
      </c>
      <c r="U916">
        <v>88.69</v>
      </c>
      <c r="V916">
        <v>5.76</v>
      </c>
      <c r="W916">
        <v>2577</v>
      </c>
      <c r="X916">
        <v>4.18</v>
      </c>
      <c r="Y916">
        <v>32.99</v>
      </c>
    </row>
    <row r="917" spans="1:25" x14ac:dyDescent="0.3">
      <c r="A917" t="s">
        <v>31</v>
      </c>
      <c r="B917" t="s">
        <v>33</v>
      </c>
      <c r="C917" t="s">
        <v>38</v>
      </c>
      <c r="D917" s="1">
        <v>45112</v>
      </c>
      <c r="E917">
        <v>43599658</v>
      </c>
      <c r="F917">
        <v>1680</v>
      </c>
      <c r="G917">
        <v>42.3</v>
      </c>
      <c r="H917">
        <v>31286</v>
      </c>
      <c r="I917">
        <v>93115</v>
      </c>
      <c r="J917">
        <v>47268</v>
      </c>
      <c r="K917">
        <v>20135</v>
      </c>
      <c r="L917">
        <v>1995</v>
      </c>
      <c r="M917">
        <v>40818</v>
      </c>
      <c r="N917">
        <v>387157</v>
      </c>
      <c r="O917">
        <v>7720</v>
      </c>
      <c r="P917">
        <v>1717057</v>
      </c>
      <c r="Q917">
        <v>19.100000000000001</v>
      </c>
      <c r="R917">
        <v>4803829</v>
      </c>
      <c r="S917">
        <v>35158745</v>
      </c>
      <c r="T917">
        <v>24810051</v>
      </c>
      <c r="U917">
        <v>41.08</v>
      </c>
      <c r="V917">
        <v>6.62</v>
      </c>
      <c r="W917">
        <v>3123</v>
      </c>
      <c r="X917">
        <v>4.88</v>
      </c>
      <c r="Y917">
        <v>87.72</v>
      </c>
    </row>
    <row r="918" spans="1:25" x14ac:dyDescent="0.3">
      <c r="A918" t="s">
        <v>27</v>
      </c>
      <c r="B918" t="s">
        <v>34</v>
      </c>
      <c r="C918" t="s">
        <v>37</v>
      </c>
      <c r="D918" s="1">
        <v>45113</v>
      </c>
      <c r="E918">
        <v>5796990</v>
      </c>
      <c r="F918">
        <v>18008</v>
      </c>
      <c r="G918">
        <v>28</v>
      </c>
      <c r="H918">
        <v>16994</v>
      </c>
      <c r="I918">
        <v>990125</v>
      </c>
      <c r="J918">
        <v>3196</v>
      </c>
      <c r="K918">
        <v>45718</v>
      </c>
      <c r="L918">
        <v>1934</v>
      </c>
      <c r="M918">
        <v>692878</v>
      </c>
      <c r="N918">
        <v>394930</v>
      </c>
      <c r="O918">
        <v>2446</v>
      </c>
      <c r="P918">
        <v>1697235</v>
      </c>
      <c r="Q918">
        <v>26.45</v>
      </c>
      <c r="R918">
        <v>28297604</v>
      </c>
      <c r="S918">
        <v>28594478</v>
      </c>
      <c r="T918">
        <v>22414975</v>
      </c>
      <c r="U918">
        <v>37.159999999999997</v>
      </c>
      <c r="V918">
        <v>2.1</v>
      </c>
      <c r="W918">
        <v>4260</v>
      </c>
      <c r="X918">
        <v>3.25</v>
      </c>
      <c r="Y918">
        <v>10.76</v>
      </c>
    </row>
    <row r="919" spans="1:25" x14ac:dyDescent="0.3">
      <c r="A919" t="s">
        <v>25</v>
      </c>
      <c r="B919" t="s">
        <v>34</v>
      </c>
      <c r="C919" t="s">
        <v>38</v>
      </c>
      <c r="D919" s="1">
        <v>45114</v>
      </c>
      <c r="E919">
        <v>33150907</v>
      </c>
      <c r="F919">
        <v>13433</v>
      </c>
      <c r="G919">
        <v>31.1</v>
      </c>
      <c r="H919">
        <v>27639</v>
      </c>
      <c r="I919">
        <v>865358</v>
      </c>
      <c r="J919">
        <v>42320</v>
      </c>
      <c r="K919">
        <v>17692</v>
      </c>
      <c r="L919">
        <v>1556</v>
      </c>
      <c r="M919">
        <v>124578</v>
      </c>
      <c r="N919">
        <v>283183</v>
      </c>
      <c r="O919">
        <v>3905</v>
      </c>
      <c r="P919">
        <v>1457011</v>
      </c>
      <c r="Q919">
        <v>15.99</v>
      </c>
      <c r="R919">
        <v>42210953</v>
      </c>
      <c r="S919">
        <v>12020116</v>
      </c>
      <c r="T919">
        <v>16947532</v>
      </c>
      <c r="U919">
        <v>29.69</v>
      </c>
      <c r="V919">
        <v>9.77</v>
      </c>
      <c r="W919">
        <v>4626</v>
      </c>
      <c r="X919">
        <v>2.36</v>
      </c>
      <c r="Y919">
        <v>3.8</v>
      </c>
    </row>
    <row r="920" spans="1:25" x14ac:dyDescent="0.3">
      <c r="A920" t="s">
        <v>30</v>
      </c>
      <c r="B920" t="s">
        <v>34</v>
      </c>
      <c r="C920" t="s">
        <v>38</v>
      </c>
      <c r="D920" s="1">
        <v>45115</v>
      </c>
      <c r="E920">
        <v>12799755</v>
      </c>
      <c r="F920">
        <v>16202</v>
      </c>
      <c r="G920">
        <v>24.7</v>
      </c>
      <c r="H920">
        <v>18205</v>
      </c>
      <c r="I920">
        <v>473032</v>
      </c>
      <c r="J920">
        <v>29401</v>
      </c>
      <c r="K920">
        <v>36880</v>
      </c>
      <c r="L920">
        <v>1843</v>
      </c>
      <c r="M920">
        <v>40259</v>
      </c>
      <c r="N920">
        <v>243872</v>
      </c>
      <c r="O920">
        <v>6474</v>
      </c>
      <c r="P920">
        <v>789049</v>
      </c>
      <c r="Q920">
        <v>22.77</v>
      </c>
      <c r="R920">
        <v>3825971</v>
      </c>
      <c r="S920">
        <v>509590</v>
      </c>
      <c r="T920">
        <v>15655959</v>
      </c>
      <c r="U920">
        <v>15.24</v>
      </c>
      <c r="V920">
        <v>5.14</v>
      </c>
      <c r="W920">
        <v>1074</v>
      </c>
      <c r="X920">
        <v>1.6</v>
      </c>
      <c r="Y920">
        <v>20.85</v>
      </c>
    </row>
    <row r="921" spans="1:25" x14ac:dyDescent="0.3">
      <c r="A921" t="s">
        <v>26</v>
      </c>
      <c r="B921" t="s">
        <v>32</v>
      </c>
      <c r="C921" t="s">
        <v>40</v>
      </c>
      <c r="D921" s="1">
        <v>45116</v>
      </c>
      <c r="E921">
        <v>32720741</v>
      </c>
      <c r="F921">
        <v>11134</v>
      </c>
      <c r="G921">
        <v>49.2</v>
      </c>
      <c r="H921">
        <v>57677</v>
      </c>
      <c r="I921">
        <v>483870</v>
      </c>
      <c r="J921">
        <v>35029</v>
      </c>
      <c r="K921">
        <v>17298</v>
      </c>
      <c r="L921">
        <v>1186</v>
      </c>
      <c r="M921">
        <v>803430</v>
      </c>
      <c r="N921">
        <v>18900</v>
      </c>
      <c r="O921">
        <v>3591</v>
      </c>
      <c r="P921">
        <v>44016</v>
      </c>
      <c r="Q921">
        <v>22.89</v>
      </c>
      <c r="R921">
        <v>7925660</v>
      </c>
      <c r="S921">
        <v>1602243</v>
      </c>
      <c r="T921">
        <v>863996</v>
      </c>
      <c r="U921">
        <v>13.81</v>
      </c>
      <c r="V921">
        <v>1.05</v>
      </c>
      <c r="W921">
        <v>991</v>
      </c>
      <c r="X921">
        <v>1.19</v>
      </c>
      <c r="Y921">
        <v>28.61</v>
      </c>
    </row>
    <row r="922" spans="1:25" x14ac:dyDescent="0.3">
      <c r="A922" t="s">
        <v>31</v>
      </c>
      <c r="B922" t="s">
        <v>36</v>
      </c>
      <c r="C922" t="s">
        <v>38</v>
      </c>
      <c r="D922" s="1">
        <v>45117</v>
      </c>
      <c r="E922">
        <v>40983087</v>
      </c>
      <c r="F922">
        <v>1745</v>
      </c>
      <c r="G922">
        <v>38.700000000000003</v>
      </c>
      <c r="H922">
        <v>33930</v>
      </c>
      <c r="I922">
        <v>71400</v>
      </c>
      <c r="J922">
        <v>10813</v>
      </c>
      <c r="K922">
        <v>35804</v>
      </c>
      <c r="L922">
        <v>1001</v>
      </c>
      <c r="M922">
        <v>550777</v>
      </c>
      <c r="N922">
        <v>56540</v>
      </c>
      <c r="O922">
        <v>2181</v>
      </c>
      <c r="P922">
        <v>444888</v>
      </c>
      <c r="Q922">
        <v>19.93</v>
      </c>
      <c r="R922">
        <v>47265119</v>
      </c>
      <c r="S922">
        <v>11572116</v>
      </c>
      <c r="T922">
        <v>13585775</v>
      </c>
      <c r="U922">
        <v>13.23</v>
      </c>
      <c r="V922">
        <v>9.4</v>
      </c>
      <c r="W922">
        <v>817</v>
      </c>
      <c r="X922">
        <v>1.1399999999999999</v>
      </c>
      <c r="Y922">
        <v>11.29</v>
      </c>
    </row>
    <row r="923" spans="1:25" x14ac:dyDescent="0.3">
      <c r="A923" t="s">
        <v>27</v>
      </c>
      <c r="B923" t="s">
        <v>32</v>
      </c>
      <c r="C923" t="s">
        <v>39</v>
      </c>
      <c r="D923" s="1">
        <v>45118</v>
      </c>
      <c r="E923">
        <v>45357903</v>
      </c>
      <c r="F923">
        <v>19692</v>
      </c>
      <c r="G923">
        <v>47.9</v>
      </c>
      <c r="H923">
        <v>19316</v>
      </c>
      <c r="I923">
        <v>624813</v>
      </c>
      <c r="J923">
        <v>41916</v>
      </c>
      <c r="K923">
        <v>39487</v>
      </c>
      <c r="L923">
        <v>608</v>
      </c>
      <c r="M923">
        <v>496426</v>
      </c>
      <c r="N923">
        <v>416562</v>
      </c>
      <c r="O923">
        <v>5011</v>
      </c>
      <c r="P923">
        <v>1335996</v>
      </c>
      <c r="Q923">
        <v>7.38</v>
      </c>
      <c r="R923">
        <v>3249950</v>
      </c>
      <c r="S923">
        <v>9171342</v>
      </c>
      <c r="T923">
        <v>9583333</v>
      </c>
      <c r="U923">
        <v>11.41</v>
      </c>
      <c r="V923">
        <v>6.07</v>
      </c>
      <c r="W923">
        <v>2488</v>
      </c>
      <c r="X923">
        <v>2.11</v>
      </c>
      <c r="Y923">
        <v>6.57</v>
      </c>
    </row>
    <row r="924" spans="1:25" x14ac:dyDescent="0.3">
      <c r="A924" t="s">
        <v>25</v>
      </c>
      <c r="B924" t="s">
        <v>36</v>
      </c>
      <c r="C924" t="s">
        <v>39</v>
      </c>
      <c r="D924" s="1">
        <v>45119</v>
      </c>
      <c r="E924">
        <v>2321367</v>
      </c>
      <c r="F924">
        <v>14871</v>
      </c>
      <c r="G924">
        <v>27.7</v>
      </c>
      <c r="H924">
        <v>28304</v>
      </c>
      <c r="I924">
        <v>364308</v>
      </c>
      <c r="J924">
        <v>8572</v>
      </c>
      <c r="K924">
        <v>24415</v>
      </c>
      <c r="L924">
        <v>306</v>
      </c>
      <c r="M924">
        <v>681428</v>
      </c>
      <c r="N924">
        <v>127621</v>
      </c>
      <c r="O924">
        <v>5030</v>
      </c>
      <c r="P924">
        <v>1804823</v>
      </c>
      <c r="Q924">
        <v>26</v>
      </c>
      <c r="R924">
        <v>32490561</v>
      </c>
      <c r="S924">
        <v>16535056</v>
      </c>
      <c r="T924">
        <v>11198969</v>
      </c>
      <c r="U924">
        <v>24.05</v>
      </c>
      <c r="V924">
        <v>7.14</v>
      </c>
      <c r="W924">
        <v>883</v>
      </c>
      <c r="X924">
        <v>4.96</v>
      </c>
      <c r="Y924">
        <v>75.56</v>
      </c>
    </row>
    <row r="925" spans="1:25" x14ac:dyDescent="0.3">
      <c r="A925" t="s">
        <v>27</v>
      </c>
      <c r="B925" t="s">
        <v>36</v>
      </c>
      <c r="C925" t="s">
        <v>40</v>
      </c>
      <c r="D925" s="1">
        <v>45120</v>
      </c>
      <c r="E925">
        <v>37427295</v>
      </c>
      <c r="F925">
        <v>3312</v>
      </c>
      <c r="G925">
        <v>43</v>
      </c>
      <c r="H925">
        <v>14403</v>
      </c>
      <c r="I925">
        <v>224457</v>
      </c>
      <c r="J925">
        <v>47776</v>
      </c>
      <c r="K925">
        <v>38747</v>
      </c>
      <c r="L925">
        <v>1362</v>
      </c>
      <c r="M925">
        <v>379679</v>
      </c>
      <c r="N925">
        <v>446121</v>
      </c>
      <c r="O925">
        <v>354</v>
      </c>
      <c r="P925">
        <v>1383960</v>
      </c>
      <c r="Q925">
        <v>13.09</v>
      </c>
      <c r="R925">
        <v>6773060</v>
      </c>
      <c r="S925">
        <v>21495858</v>
      </c>
      <c r="T925">
        <v>13913263</v>
      </c>
      <c r="U925">
        <v>30.67</v>
      </c>
      <c r="V925">
        <v>5.49</v>
      </c>
      <c r="W925">
        <v>2240</v>
      </c>
      <c r="X925">
        <v>0.1</v>
      </c>
      <c r="Y925">
        <v>16.43</v>
      </c>
    </row>
    <row r="926" spans="1:25" x14ac:dyDescent="0.3">
      <c r="A926" t="s">
        <v>30</v>
      </c>
      <c r="B926" t="s">
        <v>33</v>
      </c>
      <c r="C926" t="s">
        <v>37</v>
      </c>
      <c r="D926" s="1">
        <v>45121</v>
      </c>
      <c r="E926">
        <v>30198493</v>
      </c>
      <c r="F926">
        <v>1495</v>
      </c>
      <c r="G926">
        <v>42.5</v>
      </c>
      <c r="H926">
        <v>32932</v>
      </c>
      <c r="I926">
        <v>749462</v>
      </c>
      <c r="J926">
        <v>28225</v>
      </c>
      <c r="K926">
        <v>2630</v>
      </c>
      <c r="L926">
        <v>54</v>
      </c>
      <c r="M926">
        <v>853509</v>
      </c>
      <c r="N926">
        <v>121427</v>
      </c>
      <c r="O926">
        <v>2631</v>
      </c>
      <c r="P926">
        <v>893724</v>
      </c>
      <c r="Q926">
        <v>1.33</v>
      </c>
      <c r="R926">
        <v>14634916</v>
      </c>
      <c r="S926">
        <v>32381374</v>
      </c>
      <c r="T926">
        <v>10946422</v>
      </c>
      <c r="U926">
        <v>96.16</v>
      </c>
      <c r="V926">
        <v>8.43</v>
      </c>
      <c r="W926">
        <v>677</v>
      </c>
      <c r="X926">
        <v>1.07</v>
      </c>
      <c r="Y926">
        <v>91.39</v>
      </c>
    </row>
    <row r="927" spans="1:25" x14ac:dyDescent="0.3">
      <c r="A927" t="s">
        <v>28</v>
      </c>
      <c r="B927" t="s">
        <v>33</v>
      </c>
      <c r="C927" t="s">
        <v>37</v>
      </c>
      <c r="D927" s="1">
        <v>45122</v>
      </c>
      <c r="E927">
        <v>30735640</v>
      </c>
      <c r="F927">
        <v>16486</v>
      </c>
      <c r="G927">
        <v>40.1</v>
      </c>
      <c r="H927">
        <v>37701</v>
      </c>
      <c r="I927">
        <v>142774</v>
      </c>
      <c r="J927">
        <v>45853</v>
      </c>
      <c r="K927">
        <v>35424</v>
      </c>
      <c r="L927">
        <v>982</v>
      </c>
      <c r="M927">
        <v>367875</v>
      </c>
      <c r="N927">
        <v>49748</v>
      </c>
      <c r="O927">
        <v>1521</v>
      </c>
      <c r="P927">
        <v>1236383</v>
      </c>
      <c r="Q927">
        <v>7.34</v>
      </c>
      <c r="R927">
        <v>47207456</v>
      </c>
      <c r="S927">
        <v>35404602</v>
      </c>
      <c r="T927">
        <v>5014236</v>
      </c>
      <c r="U927">
        <v>57.85</v>
      </c>
      <c r="V927">
        <v>0.81</v>
      </c>
      <c r="W927">
        <v>426</v>
      </c>
      <c r="X927">
        <v>1.02</v>
      </c>
      <c r="Y927">
        <v>36.799999999999997</v>
      </c>
    </row>
    <row r="928" spans="1:25" x14ac:dyDescent="0.3">
      <c r="A928" t="s">
        <v>27</v>
      </c>
      <c r="B928" t="s">
        <v>36</v>
      </c>
      <c r="C928" t="s">
        <v>38</v>
      </c>
      <c r="D928" s="1">
        <v>45123</v>
      </c>
      <c r="E928">
        <v>2078315</v>
      </c>
      <c r="F928">
        <v>9999</v>
      </c>
      <c r="G928">
        <v>48.9</v>
      </c>
      <c r="H928">
        <v>4385</v>
      </c>
      <c r="I928">
        <v>894164</v>
      </c>
      <c r="J928">
        <v>49390</v>
      </c>
      <c r="K928">
        <v>37643</v>
      </c>
      <c r="L928">
        <v>332</v>
      </c>
      <c r="M928">
        <v>685959</v>
      </c>
      <c r="N928">
        <v>377436</v>
      </c>
      <c r="O928">
        <v>2672</v>
      </c>
      <c r="P928">
        <v>1591823</v>
      </c>
      <c r="Q928">
        <v>22.97</v>
      </c>
      <c r="R928">
        <v>37433411</v>
      </c>
      <c r="S928">
        <v>7651922</v>
      </c>
      <c r="T928">
        <v>25578937</v>
      </c>
      <c r="U928">
        <v>98.76</v>
      </c>
      <c r="V928">
        <v>3.05</v>
      </c>
      <c r="W928">
        <v>3936</v>
      </c>
      <c r="X928">
        <v>3.61</v>
      </c>
      <c r="Y928">
        <v>67.06</v>
      </c>
    </row>
    <row r="929" spans="1:25" x14ac:dyDescent="0.3">
      <c r="A929" t="s">
        <v>25</v>
      </c>
      <c r="B929" t="s">
        <v>36</v>
      </c>
      <c r="C929" t="s">
        <v>38</v>
      </c>
      <c r="D929" s="1">
        <v>45124</v>
      </c>
      <c r="E929">
        <v>41481642</v>
      </c>
      <c r="F929">
        <v>18100</v>
      </c>
      <c r="G929">
        <v>30.6</v>
      </c>
      <c r="H929">
        <v>58241</v>
      </c>
      <c r="I929">
        <v>16385</v>
      </c>
      <c r="J929">
        <v>32275</v>
      </c>
      <c r="K929">
        <v>35067</v>
      </c>
      <c r="L929">
        <v>126</v>
      </c>
      <c r="M929">
        <v>876832</v>
      </c>
      <c r="N929">
        <v>450167</v>
      </c>
      <c r="O929">
        <v>2337</v>
      </c>
      <c r="P929">
        <v>1602386</v>
      </c>
      <c r="Q929">
        <v>2.0699999999999998</v>
      </c>
      <c r="R929">
        <v>32180410</v>
      </c>
      <c r="S929">
        <v>15348529</v>
      </c>
      <c r="T929">
        <v>21292579</v>
      </c>
      <c r="U929">
        <v>37.25</v>
      </c>
      <c r="V929">
        <v>4.96</v>
      </c>
      <c r="W929">
        <v>139</v>
      </c>
      <c r="X929">
        <v>1.83</v>
      </c>
      <c r="Y929">
        <v>22.54</v>
      </c>
    </row>
    <row r="930" spans="1:25" x14ac:dyDescent="0.3">
      <c r="A930" t="s">
        <v>27</v>
      </c>
      <c r="B930" t="s">
        <v>32</v>
      </c>
      <c r="C930" t="s">
        <v>38</v>
      </c>
      <c r="D930" s="1">
        <v>45125</v>
      </c>
      <c r="E930">
        <v>25576068</v>
      </c>
      <c r="F930">
        <v>6951</v>
      </c>
      <c r="G930">
        <v>22.2</v>
      </c>
      <c r="H930">
        <v>11367</v>
      </c>
      <c r="I930">
        <v>796768</v>
      </c>
      <c r="J930">
        <v>6843</v>
      </c>
      <c r="K930">
        <v>40148</v>
      </c>
      <c r="L930">
        <v>1963</v>
      </c>
      <c r="M930">
        <v>434355</v>
      </c>
      <c r="N930">
        <v>425004</v>
      </c>
      <c r="O930">
        <v>6968</v>
      </c>
      <c r="P930">
        <v>1498879</v>
      </c>
      <c r="Q930">
        <v>4.42</v>
      </c>
      <c r="R930">
        <v>5347519</v>
      </c>
      <c r="S930">
        <v>23498529</v>
      </c>
      <c r="T930">
        <v>19829249</v>
      </c>
      <c r="U930">
        <v>45.76</v>
      </c>
      <c r="V930">
        <v>1.23</v>
      </c>
      <c r="W930">
        <v>2905</v>
      </c>
      <c r="X930">
        <v>2.34</v>
      </c>
      <c r="Y930">
        <v>24.03</v>
      </c>
    </row>
    <row r="931" spans="1:25" x14ac:dyDescent="0.3">
      <c r="A931" t="s">
        <v>27</v>
      </c>
      <c r="B931" t="s">
        <v>32</v>
      </c>
      <c r="C931" t="s">
        <v>37</v>
      </c>
      <c r="D931" s="1">
        <v>45126</v>
      </c>
      <c r="E931">
        <v>18626806</v>
      </c>
      <c r="F931">
        <v>19219</v>
      </c>
      <c r="G931">
        <v>39.5</v>
      </c>
      <c r="H931">
        <v>66030</v>
      </c>
      <c r="I931">
        <v>852853</v>
      </c>
      <c r="J931">
        <v>1105</v>
      </c>
      <c r="K931">
        <v>13864</v>
      </c>
      <c r="L931">
        <v>704</v>
      </c>
      <c r="M931">
        <v>891611</v>
      </c>
      <c r="N931">
        <v>355742</v>
      </c>
      <c r="O931">
        <v>628</v>
      </c>
      <c r="P931">
        <v>1452745</v>
      </c>
      <c r="Q931">
        <v>20.83</v>
      </c>
      <c r="R931">
        <v>11847006</v>
      </c>
      <c r="S931">
        <v>35138924</v>
      </c>
      <c r="T931">
        <v>8334206</v>
      </c>
      <c r="U931">
        <v>32.46</v>
      </c>
      <c r="V931">
        <v>7.21</v>
      </c>
      <c r="W931">
        <v>1115</v>
      </c>
      <c r="X931">
        <v>0.83</v>
      </c>
      <c r="Y931">
        <v>57.47</v>
      </c>
    </row>
    <row r="932" spans="1:25" x14ac:dyDescent="0.3">
      <c r="A932" t="s">
        <v>27</v>
      </c>
      <c r="B932" t="s">
        <v>33</v>
      </c>
      <c r="C932" t="s">
        <v>41</v>
      </c>
      <c r="D932" s="1">
        <v>45127</v>
      </c>
      <c r="E932">
        <v>45947478</v>
      </c>
      <c r="F932">
        <v>769</v>
      </c>
      <c r="G932">
        <v>41.3</v>
      </c>
      <c r="H932">
        <v>47505</v>
      </c>
      <c r="I932">
        <v>949729</v>
      </c>
      <c r="J932">
        <v>43209</v>
      </c>
      <c r="K932">
        <v>9687</v>
      </c>
      <c r="L932">
        <v>242</v>
      </c>
      <c r="M932">
        <v>286126</v>
      </c>
      <c r="N932">
        <v>292008</v>
      </c>
      <c r="O932">
        <v>7162</v>
      </c>
      <c r="P932">
        <v>27567</v>
      </c>
      <c r="Q932">
        <v>26.78</v>
      </c>
      <c r="R932">
        <v>1203307</v>
      </c>
      <c r="S932">
        <v>10658864</v>
      </c>
      <c r="T932">
        <v>5083496</v>
      </c>
      <c r="U932">
        <v>18.29</v>
      </c>
      <c r="V932">
        <v>4.24</v>
      </c>
      <c r="W932">
        <v>1108</v>
      </c>
      <c r="X932">
        <v>2.08</v>
      </c>
      <c r="Y932">
        <v>56.06</v>
      </c>
    </row>
    <row r="933" spans="1:25" x14ac:dyDescent="0.3">
      <c r="A933" t="s">
        <v>29</v>
      </c>
      <c r="B933" t="s">
        <v>34</v>
      </c>
      <c r="C933" t="s">
        <v>39</v>
      </c>
      <c r="D933" s="1">
        <v>45128</v>
      </c>
      <c r="E933">
        <v>47023237</v>
      </c>
      <c r="F933">
        <v>8647</v>
      </c>
      <c r="G933">
        <v>36.4</v>
      </c>
      <c r="H933">
        <v>34332</v>
      </c>
      <c r="I933">
        <v>561309</v>
      </c>
      <c r="J933">
        <v>31639</v>
      </c>
      <c r="K933">
        <v>44121</v>
      </c>
      <c r="L933">
        <v>1884</v>
      </c>
      <c r="M933">
        <v>331856</v>
      </c>
      <c r="N933">
        <v>294714</v>
      </c>
      <c r="O933">
        <v>2679</v>
      </c>
      <c r="P933">
        <v>1503315</v>
      </c>
      <c r="Q933">
        <v>19.010000000000002</v>
      </c>
      <c r="R933">
        <v>26979567</v>
      </c>
      <c r="S933">
        <v>26672645</v>
      </c>
      <c r="T933">
        <v>8677649</v>
      </c>
      <c r="U933">
        <v>14.32</v>
      </c>
      <c r="V933">
        <v>3.09</v>
      </c>
      <c r="W933">
        <v>3109</v>
      </c>
      <c r="X933">
        <v>0.61</v>
      </c>
      <c r="Y933">
        <v>76.87</v>
      </c>
    </row>
    <row r="934" spans="1:25" x14ac:dyDescent="0.3">
      <c r="A934" t="s">
        <v>29</v>
      </c>
      <c r="B934" t="s">
        <v>36</v>
      </c>
      <c r="C934" t="s">
        <v>41</v>
      </c>
      <c r="D934" s="1">
        <v>45129</v>
      </c>
      <c r="E934">
        <v>11699747</v>
      </c>
      <c r="F934">
        <v>6905</v>
      </c>
      <c r="G934">
        <v>24.6</v>
      </c>
      <c r="H934">
        <v>36268</v>
      </c>
      <c r="I934">
        <v>922286</v>
      </c>
      <c r="J934">
        <v>42487</v>
      </c>
      <c r="K934">
        <v>24084</v>
      </c>
      <c r="L934">
        <v>599</v>
      </c>
      <c r="M934">
        <v>448977</v>
      </c>
      <c r="N934">
        <v>256260</v>
      </c>
      <c r="O934">
        <v>5266</v>
      </c>
      <c r="P934">
        <v>1112284</v>
      </c>
      <c r="Q934">
        <v>6.67</v>
      </c>
      <c r="R934">
        <v>39950551</v>
      </c>
      <c r="S934">
        <v>29709429</v>
      </c>
      <c r="T934">
        <v>23771312</v>
      </c>
      <c r="U934">
        <v>94.51</v>
      </c>
      <c r="V934">
        <v>0.53</v>
      </c>
      <c r="W934">
        <v>4122</v>
      </c>
      <c r="X934">
        <v>2.71</v>
      </c>
      <c r="Y934">
        <v>75.78</v>
      </c>
    </row>
    <row r="935" spans="1:25" x14ac:dyDescent="0.3">
      <c r="A935" t="s">
        <v>28</v>
      </c>
      <c r="B935" t="s">
        <v>32</v>
      </c>
      <c r="C935" t="s">
        <v>41</v>
      </c>
      <c r="D935" s="1">
        <v>45130</v>
      </c>
      <c r="E935">
        <v>5940107</v>
      </c>
      <c r="F935">
        <v>18728</v>
      </c>
      <c r="G935">
        <v>34.1</v>
      </c>
      <c r="H935">
        <v>26563</v>
      </c>
      <c r="I935">
        <v>509670</v>
      </c>
      <c r="J935">
        <v>18051</v>
      </c>
      <c r="K935">
        <v>17834</v>
      </c>
      <c r="L935">
        <v>1871</v>
      </c>
      <c r="M935">
        <v>481033</v>
      </c>
      <c r="N935">
        <v>169673</v>
      </c>
      <c r="O935">
        <v>4422</v>
      </c>
      <c r="P935">
        <v>127206</v>
      </c>
      <c r="Q935">
        <v>1.6</v>
      </c>
      <c r="R935">
        <v>33243312</v>
      </c>
      <c r="S935">
        <v>9831876</v>
      </c>
      <c r="T935">
        <v>20548871</v>
      </c>
      <c r="U935">
        <v>98.68</v>
      </c>
      <c r="V935">
        <v>7.34</v>
      </c>
      <c r="W935">
        <v>2650</v>
      </c>
      <c r="X935">
        <v>0.57999999999999996</v>
      </c>
      <c r="Y935">
        <v>67.069999999999993</v>
      </c>
    </row>
    <row r="936" spans="1:25" x14ac:dyDescent="0.3">
      <c r="A936" t="s">
        <v>31</v>
      </c>
      <c r="B936" t="s">
        <v>33</v>
      </c>
      <c r="C936" t="s">
        <v>37</v>
      </c>
      <c r="D936" s="1">
        <v>45131</v>
      </c>
      <c r="E936">
        <v>49226898</v>
      </c>
      <c r="F936">
        <v>8313</v>
      </c>
      <c r="G936">
        <v>28</v>
      </c>
      <c r="H936">
        <v>37404</v>
      </c>
      <c r="I936">
        <v>118369</v>
      </c>
      <c r="J936">
        <v>28708</v>
      </c>
      <c r="K936">
        <v>775</v>
      </c>
      <c r="L936">
        <v>1432</v>
      </c>
      <c r="M936">
        <v>816980</v>
      </c>
      <c r="N936">
        <v>57307</v>
      </c>
      <c r="O936">
        <v>9630</v>
      </c>
      <c r="P936">
        <v>547848</v>
      </c>
      <c r="Q936">
        <v>18.45</v>
      </c>
      <c r="R936">
        <v>27113012</v>
      </c>
      <c r="S936">
        <v>29479686</v>
      </c>
      <c r="T936">
        <v>26066105</v>
      </c>
      <c r="U936">
        <v>4.49</v>
      </c>
      <c r="V936">
        <v>8.42</v>
      </c>
      <c r="W936">
        <v>4269</v>
      </c>
      <c r="X936">
        <v>3.97</v>
      </c>
      <c r="Y936">
        <v>44.91</v>
      </c>
    </row>
    <row r="937" spans="1:25" x14ac:dyDescent="0.3">
      <c r="A937" t="s">
        <v>27</v>
      </c>
      <c r="B937" t="s">
        <v>32</v>
      </c>
      <c r="C937" t="s">
        <v>41</v>
      </c>
      <c r="D937" s="1">
        <v>45132</v>
      </c>
      <c r="E937">
        <v>7581530</v>
      </c>
      <c r="F937">
        <v>14570</v>
      </c>
      <c r="G937">
        <v>31.7</v>
      </c>
      <c r="H937">
        <v>56182</v>
      </c>
      <c r="I937">
        <v>745990</v>
      </c>
      <c r="J937">
        <v>35459</v>
      </c>
      <c r="K937">
        <v>45449</v>
      </c>
      <c r="L937">
        <v>502</v>
      </c>
      <c r="M937">
        <v>395752</v>
      </c>
      <c r="N937">
        <v>62257</v>
      </c>
      <c r="O937">
        <v>7463</v>
      </c>
      <c r="P937">
        <v>1632254</v>
      </c>
      <c r="Q937">
        <v>1.42</v>
      </c>
      <c r="R937">
        <v>7726409</v>
      </c>
      <c r="S937">
        <v>31760224</v>
      </c>
      <c r="T937">
        <v>20034062</v>
      </c>
      <c r="U937">
        <v>15.03</v>
      </c>
      <c r="V937">
        <v>4.25</v>
      </c>
      <c r="W937">
        <v>2154</v>
      </c>
      <c r="X937">
        <v>2.88</v>
      </c>
      <c r="Y937">
        <v>89.06</v>
      </c>
    </row>
    <row r="938" spans="1:25" x14ac:dyDescent="0.3">
      <c r="A938" t="s">
        <v>30</v>
      </c>
      <c r="B938" t="s">
        <v>36</v>
      </c>
      <c r="C938" t="s">
        <v>40</v>
      </c>
      <c r="D938" s="1">
        <v>45133</v>
      </c>
      <c r="E938">
        <v>48994716</v>
      </c>
      <c r="F938">
        <v>11924</v>
      </c>
      <c r="G938">
        <v>38.6</v>
      </c>
      <c r="H938">
        <v>33991</v>
      </c>
      <c r="I938">
        <v>574399</v>
      </c>
      <c r="J938">
        <v>11864</v>
      </c>
      <c r="K938">
        <v>31625</v>
      </c>
      <c r="L938">
        <v>1750</v>
      </c>
      <c r="M938">
        <v>560602</v>
      </c>
      <c r="N938">
        <v>134388</v>
      </c>
      <c r="O938">
        <v>9613</v>
      </c>
      <c r="P938">
        <v>1699636</v>
      </c>
      <c r="Q938">
        <v>18.38</v>
      </c>
      <c r="R938">
        <v>5311344</v>
      </c>
      <c r="S938">
        <v>29920204</v>
      </c>
      <c r="T938">
        <v>5562344</v>
      </c>
      <c r="U938">
        <v>42.35</v>
      </c>
      <c r="V938">
        <v>5.86</v>
      </c>
      <c r="W938">
        <v>2903</v>
      </c>
      <c r="X938">
        <v>3.65</v>
      </c>
      <c r="Y938">
        <v>62.26</v>
      </c>
    </row>
    <row r="939" spans="1:25" x14ac:dyDescent="0.3">
      <c r="A939" t="s">
        <v>31</v>
      </c>
      <c r="B939" t="s">
        <v>36</v>
      </c>
      <c r="C939" t="s">
        <v>38</v>
      </c>
      <c r="D939" s="1">
        <v>45134</v>
      </c>
      <c r="E939">
        <v>27135617</v>
      </c>
      <c r="F939">
        <v>14129</v>
      </c>
      <c r="G939">
        <v>41.8</v>
      </c>
      <c r="H939">
        <v>48663</v>
      </c>
      <c r="I939">
        <v>90402</v>
      </c>
      <c r="J939">
        <v>34764</v>
      </c>
      <c r="K939">
        <v>48936</v>
      </c>
      <c r="L939">
        <v>603</v>
      </c>
      <c r="M939">
        <v>715554</v>
      </c>
      <c r="N939">
        <v>153244</v>
      </c>
      <c r="O939">
        <v>1126</v>
      </c>
      <c r="P939">
        <v>462365</v>
      </c>
      <c r="Q939">
        <v>6.77</v>
      </c>
      <c r="R939">
        <v>31449713</v>
      </c>
      <c r="S939">
        <v>28818458</v>
      </c>
      <c r="T939">
        <v>3873680</v>
      </c>
      <c r="U939">
        <v>18.63</v>
      </c>
      <c r="V939">
        <v>2.66</v>
      </c>
      <c r="W939">
        <v>2705</v>
      </c>
      <c r="X939">
        <v>2.15</v>
      </c>
      <c r="Y939">
        <v>99.02</v>
      </c>
    </row>
    <row r="940" spans="1:25" x14ac:dyDescent="0.3">
      <c r="A940" t="s">
        <v>30</v>
      </c>
      <c r="B940" t="s">
        <v>35</v>
      </c>
      <c r="C940" t="s">
        <v>40</v>
      </c>
      <c r="D940" s="1">
        <v>45135</v>
      </c>
      <c r="E940">
        <v>46933552</v>
      </c>
      <c r="F940">
        <v>17132</v>
      </c>
      <c r="G940">
        <v>25.4</v>
      </c>
      <c r="H940">
        <v>66886</v>
      </c>
      <c r="I940">
        <v>645062</v>
      </c>
      <c r="J940">
        <v>1425</v>
      </c>
      <c r="K940">
        <v>36870</v>
      </c>
      <c r="L940">
        <v>302</v>
      </c>
      <c r="M940">
        <v>410640</v>
      </c>
      <c r="N940">
        <v>93878</v>
      </c>
      <c r="O940">
        <v>1780</v>
      </c>
      <c r="P940">
        <v>955164</v>
      </c>
      <c r="Q940">
        <v>27.14</v>
      </c>
      <c r="R940">
        <v>35495361</v>
      </c>
      <c r="S940">
        <v>9239238</v>
      </c>
      <c r="T940">
        <v>5049025</v>
      </c>
      <c r="U940">
        <v>36.39</v>
      </c>
      <c r="V940">
        <v>6.41</v>
      </c>
      <c r="W940">
        <v>1565</v>
      </c>
      <c r="X940">
        <v>1.97</v>
      </c>
      <c r="Y940">
        <v>81.94</v>
      </c>
    </row>
    <row r="941" spans="1:25" x14ac:dyDescent="0.3">
      <c r="A941" t="s">
        <v>31</v>
      </c>
      <c r="B941" t="s">
        <v>34</v>
      </c>
      <c r="C941" t="s">
        <v>39</v>
      </c>
      <c r="D941" s="1">
        <v>45136</v>
      </c>
      <c r="E941">
        <v>30610314</v>
      </c>
      <c r="F941">
        <v>7293</v>
      </c>
      <c r="G941">
        <v>31</v>
      </c>
      <c r="H941">
        <v>25127</v>
      </c>
      <c r="I941">
        <v>254724</v>
      </c>
      <c r="J941">
        <v>49146</v>
      </c>
      <c r="K941">
        <v>12985</v>
      </c>
      <c r="L941">
        <v>1487</v>
      </c>
      <c r="M941">
        <v>392137</v>
      </c>
      <c r="N941">
        <v>130116</v>
      </c>
      <c r="O941">
        <v>9723</v>
      </c>
      <c r="P941">
        <v>1356824</v>
      </c>
      <c r="Q941">
        <v>14.25</v>
      </c>
      <c r="R941">
        <v>8085898</v>
      </c>
      <c r="S941">
        <v>37925984</v>
      </c>
      <c r="T941">
        <v>2653381</v>
      </c>
      <c r="U941">
        <v>12.91</v>
      </c>
      <c r="V941">
        <v>0.62</v>
      </c>
      <c r="W941">
        <v>3067</v>
      </c>
      <c r="X941">
        <v>0.57999999999999996</v>
      </c>
      <c r="Y941">
        <v>4.43</v>
      </c>
    </row>
    <row r="942" spans="1:25" x14ac:dyDescent="0.3">
      <c r="A942" t="s">
        <v>28</v>
      </c>
      <c r="B942" t="s">
        <v>35</v>
      </c>
      <c r="C942" t="s">
        <v>38</v>
      </c>
      <c r="D942" s="1">
        <v>45137</v>
      </c>
      <c r="E942">
        <v>20174922</v>
      </c>
      <c r="F942">
        <v>9068</v>
      </c>
      <c r="G942">
        <v>26.6</v>
      </c>
      <c r="H942">
        <v>58692</v>
      </c>
      <c r="I942">
        <v>740945</v>
      </c>
      <c r="J942">
        <v>6849</v>
      </c>
      <c r="K942">
        <v>9351</v>
      </c>
      <c r="L942">
        <v>234</v>
      </c>
      <c r="M942">
        <v>60704</v>
      </c>
      <c r="N942">
        <v>124388</v>
      </c>
      <c r="O942">
        <v>9424</v>
      </c>
      <c r="P942">
        <v>1631669</v>
      </c>
      <c r="Q942">
        <v>6.72</v>
      </c>
      <c r="R942">
        <v>39543952</v>
      </c>
      <c r="S942">
        <v>19739152</v>
      </c>
      <c r="T942">
        <v>7046492</v>
      </c>
      <c r="U942">
        <v>45.65</v>
      </c>
      <c r="V942">
        <v>5.14</v>
      </c>
      <c r="W942">
        <v>4197</v>
      </c>
      <c r="X942">
        <v>2.67</v>
      </c>
      <c r="Y942">
        <v>32.06</v>
      </c>
    </row>
    <row r="943" spans="1:25" x14ac:dyDescent="0.3">
      <c r="A943" t="s">
        <v>27</v>
      </c>
      <c r="B943" t="s">
        <v>33</v>
      </c>
      <c r="C943" t="s">
        <v>41</v>
      </c>
      <c r="D943" s="1">
        <v>45138</v>
      </c>
      <c r="E943">
        <v>25559572</v>
      </c>
      <c r="F943">
        <v>16782</v>
      </c>
      <c r="G943">
        <v>24.4</v>
      </c>
      <c r="H943">
        <v>38500</v>
      </c>
      <c r="I943">
        <v>830151</v>
      </c>
      <c r="J943">
        <v>36015</v>
      </c>
      <c r="K943">
        <v>28151</v>
      </c>
      <c r="L943">
        <v>1719</v>
      </c>
      <c r="M943">
        <v>557632</v>
      </c>
      <c r="N943">
        <v>168304</v>
      </c>
      <c r="O943">
        <v>6571</v>
      </c>
      <c r="P943">
        <v>237109</v>
      </c>
      <c r="Q943">
        <v>25.59</v>
      </c>
      <c r="R943">
        <v>5280619</v>
      </c>
      <c r="S943">
        <v>37638828</v>
      </c>
      <c r="T943">
        <v>12728218</v>
      </c>
      <c r="U943">
        <v>27.17</v>
      </c>
      <c r="V943">
        <v>6.62</v>
      </c>
      <c r="W943">
        <v>1623</v>
      </c>
      <c r="X943">
        <v>2.62</v>
      </c>
      <c r="Y943">
        <v>57.19</v>
      </c>
    </row>
    <row r="944" spans="1:25" x14ac:dyDescent="0.3">
      <c r="A944" t="s">
        <v>27</v>
      </c>
      <c r="B944" t="s">
        <v>32</v>
      </c>
      <c r="C944" t="s">
        <v>39</v>
      </c>
      <c r="D944" s="1">
        <v>45139</v>
      </c>
      <c r="E944">
        <v>37255905</v>
      </c>
      <c r="F944">
        <v>12150</v>
      </c>
      <c r="G944">
        <v>43.1</v>
      </c>
      <c r="H944">
        <v>34785</v>
      </c>
      <c r="I944">
        <v>228600</v>
      </c>
      <c r="J944">
        <v>18976</v>
      </c>
      <c r="K944">
        <v>12344</v>
      </c>
      <c r="L944">
        <v>1061</v>
      </c>
      <c r="M944">
        <v>249327</v>
      </c>
      <c r="N944">
        <v>110673</v>
      </c>
      <c r="O944">
        <v>8584</v>
      </c>
      <c r="P944">
        <v>496951</v>
      </c>
      <c r="Q944">
        <v>7.62</v>
      </c>
      <c r="R944">
        <v>46003137</v>
      </c>
      <c r="S944">
        <v>25553508</v>
      </c>
      <c r="T944">
        <v>26813860</v>
      </c>
      <c r="U944">
        <v>35.19</v>
      </c>
      <c r="V944">
        <v>9.2200000000000006</v>
      </c>
      <c r="W944">
        <v>2586</v>
      </c>
      <c r="X944">
        <v>2.39</v>
      </c>
      <c r="Y944">
        <v>72.150000000000006</v>
      </c>
    </row>
    <row r="945" spans="1:25" x14ac:dyDescent="0.3">
      <c r="A945" t="s">
        <v>26</v>
      </c>
      <c r="B945" t="s">
        <v>33</v>
      </c>
      <c r="C945" t="s">
        <v>38</v>
      </c>
      <c r="D945" s="1">
        <v>45140</v>
      </c>
      <c r="E945">
        <v>31897110</v>
      </c>
      <c r="F945">
        <v>16741</v>
      </c>
      <c r="G945">
        <v>47.1</v>
      </c>
      <c r="H945">
        <v>48997</v>
      </c>
      <c r="I945">
        <v>705397</v>
      </c>
      <c r="J945">
        <v>34258</v>
      </c>
      <c r="K945">
        <v>48855</v>
      </c>
      <c r="L945">
        <v>138</v>
      </c>
      <c r="M945">
        <v>245756</v>
      </c>
      <c r="N945">
        <v>120830</v>
      </c>
      <c r="O945">
        <v>825</v>
      </c>
      <c r="P945">
        <v>1336216</v>
      </c>
      <c r="Q945">
        <v>9.1999999999999993</v>
      </c>
      <c r="R945">
        <v>43131077</v>
      </c>
      <c r="S945">
        <v>19692215</v>
      </c>
      <c r="T945">
        <v>24410175</v>
      </c>
      <c r="U945">
        <v>9.43</v>
      </c>
      <c r="V945">
        <v>4.12</v>
      </c>
      <c r="W945">
        <v>3976</v>
      </c>
      <c r="X945">
        <v>3.73</v>
      </c>
      <c r="Y945">
        <v>55.03</v>
      </c>
    </row>
    <row r="946" spans="1:25" x14ac:dyDescent="0.3">
      <c r="A946" t="s">
        <v>30</v>
      </c>
      <c r="B946" t="s">
        <v>36</v>
      </c>
      <c r="C946" t="s">
        <v>41</v>
      </c>
      <c r="D946" s="1">
        <v>45141</v>
      </c>
      <c r="E946">
        <v>9814823</v>
      </c>
      <c r="F946">
        <v>19850</v>
      </c>
      <c r="G946">
        <v>29.8</v>
      </c>
      <c r="H946">
        <v>8170</v>
      </c>
      <c r="I946">
        <v>474319</v>
      </c>
      <c r="J946">
        <v>47078</v>
      </c>
      <c r="K946">
        <v>15845</v>
      </c>
      <c r="L946">
        <v>194</v>
      </c>
      <c r="M946">
        <v>344587</v>
      </c>
      <c r="N946">
        <v>411177</v>
      </c>
      <c r="O946">
        <v>7276</v>
      </c>
      <c r="P946">
        <v>1788237</v>
      </c>
      <c r="Q946">
        <v>25.03</v>
      </c>
      <c r="R946">
        <v>46264132</v>
      </c>
      <c r="S946">
        <v>9904053</v>
      </c>
      <c r="T946">
        <v>27697441</v>
      </c>
      <c r="U946">
        <v>42.81</v>
      </c>
      <c r="V946">
        <v>7.77</v>
      </c>
      <c r="W946">
        <v>2102</v>
      </c>
      <c r="X946">
        <v>4.18</v>
      </c>
      <c r="Y946">
        <v>78.61</v>
      </c>
    </row>
    <row r="947" spans="1:25" x14ac:dyDescent="0.3">
      <c r="A947" t="s">
        <v>31</v>
      </c>
      <c r="B947" t="s">
        <v>35</v>
      </c>
      <c r="C947" t="s">
        <v>40</v>
      </c>
      <c r="D947" s="1">
        <v>45142</v>
      </c>
      <c r="E947">
        <v>23784876</v>
      </c>
      <c r="F947">
        <v>4870</v>
      </c>
      <c r="G947">
        <v>42</v>
      </c>
      <c r="H947">
        <v>14303</v>
      </c>
      <c r="I947">
        <v>650983</v>
      </c>
      <c r="J947">
        <v>31113</v>
      </c>
      <c r="K947">
        <v>26558</v>
      </c>
      <c r="L947">
        <v>1550</v>
      </c>
      <c r="M947">
        <v>22018</v>
      </c>
      <c r="N947">
        <v>64286</v>
      </c>
      <c r="O947">
        <v>2395</v>
      </c>
      <c r="P947">
        <v>92257</v>
      </c>
      <c r="Q947">
        <v>9.26</v>
      </c>
      <c r="R947">
        <v>33410131</v>
      </c>
      <c r="S947">
        <v>11606231</v>
      </c>
      <c r="T947">
        <v>19179537</v>
      </c>
      <c r="U947">
        <v>98.33</v>
      </c>
      <c r="V947">
        <v>6.18</v>
      </c>
      <c r="W947">
        <v>3846</v>
      </c>
      <c r="X947">
        <v>3.78</v>
      </c>
      <c r="Y947">
        <v>28.27</v>
      </c>
    </row>
    <row r="948" spans="1:25" x14ac:dyDescent="0.3">
      <c r="A948" t="s">
        <v>31</v>
      </c>
      <c r="B948" t="s">
        <v>35</v>
      </c>
      <c r="C948" t="s">
        <v>38</v>
      </c>
      <c r="D948" s="1">
        <v>45143</v>
      </c>
      <c r="E948">
        <v>45476489</v>
      </c>
      <c r="F948">
        <v>11051</v>
      </c>
      <c r="G948">
        <v>46.7</v>
      </c>
      <c r="H948">
        <v>36187</v>
      </c>
      <c r="I948">
        <v>135585</v>
      </c>
      <c r="J948">
        <v>49984</v>
      </c>
      <c r="K948">
        <v>35444</v>
      </c>
      <c r="L948">
        <v>1792</v>
      </c>
      <c r="M948">
        <v>410775</v>
      </c>
      <c r="N948">
        <v>267204</v>
      </c>
      <c r="O948">
        <v>4145</v>
      </c>
      <c r="P948">
        <v>1053091</v>
      </c>
      <c r="Q948">
        <v>12.3</v>
      </c>
      <c r="R948">
        <v>45644884</v>
      </c>
      <c r="S948">
        <v>23935004</v>
      </c>
      <c r="T948">
        <v>8929343</v>
      </c>
      <c r="U948">
        <v>32.880000000000003</v>
      </c>
      <c r="V948">
        <v>9.31</v>
      </c>
      <c r="W948">
        <v>681</v>
      </c>
      <c r="X948">
        <v>0.8</v>
      </c>
      <c r="Y948">
        <v>18.39</v>
      </c>
    </row>
    <row r="949" spans="1:25" x14ac:dyDescent="0.3">
      <c r="A949" t="s">
        <v>29</v>
      </c>
      <c r="B949" t="s">
        <v>35</v>
      </c>
      <c r="C949" t="s">
        <v>41</v>
      </c>
      <c r="D949" s="1">
        <v>45144</v>
      </c>
      <c r="E949">
        <v>35504423</v>
      </c>
      <c r="F949">
        <v>13957</v>
      </c>
      <c r="G949">
        <v>45.1</v>
      </c>
      <c r="H949">
        <v>66034</v>
      </c>
      <c r="I949">
        <v>771543</v>
      </c>
      <c r="J949">
        <v>15401</v>
      </c>
      <c r="K949">
        <v>25049</v>
      </c>
      <c r="L949">
        <v>646</v>
      </c>
      <c r="M949">
        <v>547840</v>
      </c>
      <c r="N949">
        <v>18881</v>
      </c>
      <c r="O949">
        <v>7059</v>
      </c>
      <c r="P949">
        <v>529742</v>
      </c>
      <c r="Q949">
        <v>10.43</v>
      </c>
      <c r="R949">
        <v>40438216</v>
      </c>
      <c r="S949">
        <v>17884442</v>
      </c>
      <c r="T949">
        <v>28528489</v>
      </c>
      <c r="U949">
        <v>87.64</v>
      </c>
      <c r="V949">
        <v>4.28</v>
      </c>
      <c r="W949">
        <v>1911</v>
      </c>
      <c r="X949">
        <v>3.15</v>
      </c>
      <c r="Y949">
        <v>5.39</v>
      </c>
    </row>
    <row r="950" spans="1:25" x14ac:dyDescent="0.3">
      <c r="A950" t="s">
        <v>26</v>
      </c>
      <c r="B950" t="s">
        <v>33</v>
      </c>
      <c r="C950" t="s">
        <v>40</v>
      </c>
      <c r="D950" s="1">
        <v>45145</v>
      </c>
      <c r="E950">
        <v>32557821</v>
      </c>
      <c r="F950">
        <v>19992</v>
      </c>
      <c r="G950">
        <v>23.9</v>
      </c>
      <c r="H950">
        <v>2893</v>
      </c>
      <c r="I950">
        <v>669695</v>
      </c>
      <c r="J950">
        <v>12884</v>
      </c>
      <c r="K950">
        <v>32540</v>
      </c>
      <c r="L950">
        <v>0</v>
      </c>
      <c r="M950">
        <v>781134</v>
      </c>
      <c r="N950">
        <v>237777</v>
      </c>
      <c r="O950">
        <v>5492</v>
      </c>
      <c r="P950">
        <v>238145</v>
      </c>
      <c r="Q950">
        <v>3.49</v>
      </c>
      <c r="R950">
        <v>31383003</v>
      </c>
      <c r="S950">
        <v>12510821</v>
      </c>
      <c r="T950">
        <v>5783881</v>
      </c>
      <c r="U950">
        <v>84.32</v>
      </c>
      <c r="V950">
        <v>3.53</v>
      </c>
      <c r="W950">
        <v>4002</v>
      </c>
      <c r="X950">
        <v>0.49</v>
      </c>
      <c r="Y950">
        <v>57.33</v>
      </c>
    </row>
    <row r="951" spans="1:25" x14ac:dyDescent="0.3">
      <c r="A951" t="s">
        <v>25</v>
      </c>
      <c r="B951" t="s">
        <v>36</v>
      </c>
      <c r="C951" t="s">
        <v>39</v>
      </c>
      <c r="D951" s="1">
        <v>45146</v>
      </c>
      <c r="E951">
        <v>22445770</v>
      </c>
      <c r="F951">
        <v>11719</v>
      </c>
      <c r="G951">
        <v>48.6</v>
      </c>
      <c r="H951">
        <v>14753</v>
      </c>
      <c r="I951">
        <v>700500</v>
      </c>
      <c r="J951">
        <v>18824</v>
      </c>
      <c r="K951">
        <v>38746</v>
      </c>
      <c r="L951">
        <v>560</v>
      </c>
      <c r="M951">
        <v>594591</v>
      </c>
      <c r="N951">
        <v>257606</v>
      </c>
      <c r="O951">
        <v>7111</v>
      </c>
      <c r="P951">
        <v>23873</v>
      </c>
      <c r="Q951">
        <v>1.17</v>
      </c>
      <c r="R951">
        <v>5170428</v>
      </c>
      <c r="S951">
        <v>1516660</v>
      </c>
      <c r="T951">
        <v>7206757</v>
      </c>
      <c r="U951">
        <v>95.21</v>
      </c>
      <c r="V951">
        <v>8.93</v>
      </c>
      <c r="W951">
        <v>1282</v>
      </c>
      <c r="X951">
        <v>3.5</v>
      </c>
      <c r="Y951">
        <v>68.86</v>
      </c>
    </row>
    <row r="952" spans="1:25" x14ac:dyDescent="0.3">
      <c r="A952" t="s">
        <v>25</v>
      </c>
      <c r="B952" t="s">
        <v>32</v>
      </c>
      <c r="C952" t="s">
        <v>39</v>
      </c>
      <c r="D952" s="1">
        <v>45147</v>
      </c>
      <c r="E952">
        <v>44954950</v>
      </c>
      <c r="F952">
        <v>15966</v>
      </c>
      <c r="G952">
        <v>30.1</v>
      </c>
      <c r="H952">
        <v>39090</v>
      </c>
      <c r="I952">
        <v>105126</v>
      </c>
      <c r="J952">
        <v>37563</v>
      </c>
      <c r="K952">
        <v>40419</v>
      </c>
      <c r="L952">
        <v>1119</v>
      </c>
      <c r="M952">
        <v>72024</v>
      </c>
      <c r="N952">
        <v>31226</v>
      </c>
      <c r="O952">
        <v>9984</v>
      </c>
      <c r="P952">
        <v>1909928</v>
      </c>
      <c r="Q952">
        <v>21.74</v>
      </c>
      <c r="R952">
        <v>46110582</v>
      </c>
      <c r="S952">
        <v>26215015</v>
      </c>
      <c r="T952">
        <v>8131322</v>
      </c>
      <c r="U952">
        <v>79.010000000000005</v>
      </c>
      <c r="V952">
        <v>0.97</v>
      </c>
      <c r="W952">
        <v>2314</v>
      </c>
      <c r="X952">
        <v>1.97</v>
      </c>
      <c r="Y952">
        <v>32.61</v>
      </c>
    </row>
    <row r="953" spans="1:25" x14ac:dyDescent="0.3">
      <c r="A953" t="s">
        <v>29</v>
      </c>
      <c r="B953" t="s">
        <v>32</v>
      </c>
      <c r="C953" t="s">
        <v>39</v>
      </c>
      <c r="D953" s="1">
        <v>45148</v>
      </c>
      <c r="E953">
        <v>924528</v>
      </c>
      <c r="F953">
        <v>10928</v>
      </c>
      <c r="G953">
        <v>28.9</v>
      </c>
      <c r="H953">
        <v>65922</v>
      </c>
      <c r="I953">
        <v>736733</v>
      </c>
      <c r="J953">
        <v>34414</v>
      </c>
      <c r="K953">
        <v>18575</v>
      </c>
      <c r="L953">
        <v>712</v>
      </c>
      <c r="M953">
        <v>749370</v>
      </c>
      <c r="N953">
        <v>238317</v>
      </c>
      <c r="O953">
        <v>6792</v>
      </c>
      <c r="P953">
        <v>1325447</v>
      </c>
      <c r="Q953">
        <v>19.350000000000001</v>
      </c>
      <c r="R953">
        <v>16085063</v>
      </c>
      <c r="S953">
        <v>9089580</v>
      </c>
      <c r="T953">
        <v>2803627</v>
      </c>
      <c r="U953">
        <v>65.959999999999994</v>
      </c>
      <c r="V953">
        <v>1.8</v>
      </c>
      <c r="W953">
        <v>2097</v>
      </c>
      <c r="X953">
        <v>0.75</v>
      </c>
      <c r="Y953">
        <v>61.36</v>
      </c>
    </row>
    <row r="954" spans="1:25" x14ac:dyDescent="0.3">
      <c r="A954" t="s">
        <v>29</v>
      </c>
      <c r="B954" t="s">
        <v>33</v>
      </c>
      <c r="C954" t="s">
        <v>39</v>
      </c>
      <c r="D954" s="1">
        <v>45149</v>
      </c>
      <c r="E954">
        <v>28201434</v>
      </c>
      <c r="F954">
        <v>3035</v>
      </c>
      <c r="G954">
        <v>20</v>
      </c>
      <c r="H954">
        <v>60412</v>
      </c>
      <c r="I954">
        <v>602946</v>
      </c>
      <c r="J954">
        <v>16142</v>
      </c>
      <c r="K954">
        <v>9844</v>
      </c>
      <c r="L954">
        <v>412</v>
      </c>
      <c r="M954">
        <v>519355</v>
      </c>
      <c r="N954">
        <v>415894</v>
      </c>
      <c r="O954">
        <v>9555</v>
      </c>
      <c r="P954">
        <v>1702240</v>
      </c>
      <c r="Q954">
        <v>8.4700000000000006</v>
      </c>
      <c r="R954">
        <v>40988894</v>
      </c>
      <c r="S954">
        <v>29358934</v>
      </c>
      <c r="T954">
        <v>5196816</v>
      </c>
      <c r="U954">
        <v>85.66</v>
      </c>
      <c r="V954">
        <v>1.28</v>
      </c>
      <c r="W954">
        <v>585</v>
      </c>
      <c r="X954">
        <v>4.32</v>
      </c>
      <c r="Y954">
        <v>5.22</v>
      </c>
    </row>
    <row r="955" spans="1:25" x14ac:dyDescent="0.3">
      <c r="A955" t="s">
        <v>29</v>
      </c>
      <c r="B955" t="s">
        <v>35</v>
      </c>
      <c r="C955" t="s">
        <v>37</v>
      </c>
      <c r="D955" s="1">
        <v>45150</v>
      </c>
      <c r="E955">
        <v>30748531</v>
      </c>
      <c r="F955">
        <v>8162</v>
      </c>
      <c r="G955">
        <v>33.6</v>
      </c>
      <c r="H955">
        <v>57030</v>
      </c>
      <c r="I955">
        <v>166912</v>
      </c>
      <c r="J955">
        <v>47074</v>
      </c>
      <c r="K955">
        <v>36666</v>
      </c>
      <c r="L955">
        <v>537</v>
      </c>
      <c r="M955">
        <v>876504</v>
      </c>
      <c r="N955">
        <v>368278</v>
      </c>
      <c r="O955">
        <v>3551</v>
      </c>
      <c r="P955">
        <v>594358</v>
      </c>
      <c r="Q955">
        <v>8.8699999999999992</v>
      </c>
      <c r="R955">
        <v>3897619</v>
      </c>
      <c r="S955">
        <v>3917342</v>
      </c>
      <c r="T955">
        <v>16837050</v>
      </c>
      <c r="U955">
        <v>7.56</v>
      </c>
      <c r="V955">
        <v>8.51</v>
      </c>
      <c r="W955">
        <v>3583</v>
      </c>
      <c r="X955">
        <v>3.11</v>
      </c>
      <c r="Y955">
        <v>9.93</v>
      </c>
    </row>
    <row r="956" spans="1:25" x14ac:dyDescent="0.3">
      <c r="A956" t="s">
        <v>30</v>
      </c>
      <c r="B956" t="s">
        <v>34</v>
      </c>
      <c r="C956" t="s">
        <v>38</v>
      </c>
      <c r="D956" s="1">
        <v>45151</v>
      </c>
      <c r="E956">
        <v>11603831</v>
      </c>
      <c r="F956">
        <v>8517</v>
      </c>
      <c r="G956">
        <v>21.5</v>
      </c>
      <c r="H956">
        <v>18509</v>
      </c>
      <c r="I956">
        <v>818439</v>
      </c>
      <c r="J956">
        <v>49592</v>
      </c>
      <c r="K956">
        <v>850</v>
      </c>
      <c r="L956">
        <v>1878</v>
      </c>
      <c r="M956">
        <v>591809</v>
      </c>
      <c r="N956">
        <v>280127</v>
      </c>
      <c r="O956">
        <v>7711</v>
      </c>
      <c r="P956">
        <v>1935067</v>
      </c>
      <c r="Q956">
        <v>28.35</v>
      </c>
      <c r="R956">
        <v>44490522</v>
      </c>
      <c r="S956">
        <v>25688739</v>
      </c>
      <c r="T956">
        <v>22626444</v>
      </c>
      <c r="U956">
        <v>46.28</v>
      </c>
      <c r="V956">
        <v>0.6</v>
      </c>
      <c r="W956">
        <v>4875</v>
      </c>
      <c r="X956">
        <v>1.84</v>
      </c>
      <c r="Y956">
        <v>70.180000000000007</v>
      </c>
    </row>
    <row r="957" spans="1:25" x14ac:dyDescent="0.3">
      <c r="A957" t="s">
        <v>30</v>
      </c>
      <c r="B957" t="s">
        <v>33</v>
      </c>
      <c r="C957" t="s">
        <v>38</v>
      </c>
      <c r="D957" s="1">
        <v>45152</v>
      </c>
      <c r="E957">
        <v>26278005</v>
      </c>
      <c r="F957">
        <v>18981</v>
      </c>
      <c r="G957">
        <v>26</v>
      </c>
      <c r="H957">
        <v>69653</v>
      </c>
      <c r="I957">
        <v>975451</v>
      </c>
      <c r="J957">
        <v>5956</v>
      </c>
      <c r="K957">
        <v>13883</v>
      </c>
      <c r="L957">
        <v>428</v>
      </c>
      <c r="M957">
        <v>736109</v>
      </c>
      <c r="N957">
        <v>29882</v>
      </c>
      <c r="O957">
        <v>3628</v>
      </c>
      <c r="P957">
        <v>1698428</v>
      </c>
      <c r="Q957">
        <v>29.63</v>
      </c>
      <c r="R957">
        <v>46777589</v>
      </c>
      <c r="S957">
        <v>37004240</v>
      </c>
      <c r="T957">
        <v>24884531</v>
      </c>
      <c r="U957">
        <v>98.93</v>
      </c>
      <c r="V957">
        <v>8.69</v>
      </c>
      <c r="W957">
        <v>3147</v>
      </c>
      <c r="X957">
        <v>0.25</v>
      </c>
      <c r="Y957">
        <v>36.81</v>
      </c>
    </row>
    <row r="958" spans="1:25" x14ac:dyDescent="0.3">
      <c r="A958" t="s">
        <v>28</v>
      </c>
      <c r="B958" t="s">
        <v>33</v>
      </c>
      <c r="C958" t="s">
        <v>37</v>
      </c>
      <c r="D958" s="1">
        <v>45153</v>
      </c>
      <c r="E958">
        <v>49707388</v>
      </c>
      <c r="F958">
        <v>386</v>
      </c>
      <c r="G958">
        <v>28.1</v>
      </c>
      <c r="H958">
        <v>37929</v>
      </c>
      <c r="I958">
        <v>632121</v>
      </c>
      <c r="J958">
        <v>13928</v>
      </c>
      <c r="K958">
        <v>31578</v>
      </c>
      <c r="L958">
        <v>234</v>
      </c>
      <c r="M958">
        <v>282687</v>
      </c>
      <c r="N958">
        <v>318631</v>
      </c>
      <c r="O958">
        <v>1565</v>
      </c>
      <c r="P958">
        <v>229497</v>
      </c>
      <c r="Q958">
        <v>14.2</v>
      </c>
      <c r="R958">
        <v>4736340</v>
      </c>
      <c r="S958">
        <v>31093436</v>
      </c>
      <c r="T958">
        <v>7213499</v>
      </c>
      <c r="U958">
        <v>76.959999999999994</v>
      </c>
      <c r="V958">
        <v>4.79</v>
      </c>
      <c r="W958">
        <v>1325</v>
      </c>
      <c r="X958">
        <v>2.73</v>
      </c>
      <c r="Y958">
        <v>67.13</v>
      </c>
    </row>
    <row r="959" spans="1:25" x14ac:dyDescent="0.3">
      <c r="A959" t="s">
        <v>28</v>
      </c>
      <c r="B959" t="s">
        <v>36</v>
      </c>
      <c r="C959" t="s">
        <v>41</v>
      </c>
      <c r="D959" s="1">
        <v>45154</v>
      </c>
      <c r="E959">
        <v>40504651</v>
      </c>
      <c r="F959">
        <v>10215</v>
      </c>
      <c r="G959">
        <v>43.9</v>
      </c>
      <c r="H959">
        <v>49291</v>
      </c>
      <c r="I959">
        <v>119637</v>
      </c>
      <c r="J959">
        <v>9721</v>
      </c>
      <c r="K959">
        <v>10856</v>
      </c>
      <c r="L959">
        <v>348</v>
      </c>
      <c r="M959">
        <v>2919</v>
      </c>
      <c r="N959">
        <v>148151</v>
      </c>
      <c r="O959">
        <v>3667</v>
      </c>
      <c r="P959">
        <v>642501</v>
      </c>
      <c r="Q959">
        <v>24.07</v>
      </c>
      <c r="R959">
        <v>31021628</v>
      </c>
      <c r="S959">
        <v>10855716</v>
      </c>
      <c r="T959">
        <v>23525871</v>
      </c>
      <c r="U959">
        <v>96.21</v>
      </c>
      <c r="V959">
        <v>0.54</v>
      </c>
      <c r="W959">
        <v>3123</v>
      </c>
      <c r="X959">
        <v>4.62</v>
      </c>
      <c r="Y959">
        <v>83.17</v>
      </c>
    </row>
    <row r="960" spans="1:25" x14ac:dyDescent="0.3">
      <c r="A960" t="s">
        <v>29</v>
      </c>
      <c r="B960" t="s">
        <v>32</v>
      </c>
      <c r="C960" t="s">
        <v>41</v>
      </c>
      <c r="D960" s="1">
        <v>45155</v>
      </c>
      <c r="E960">
        <v>31779524</v>
      </c>
      <c r="F960">
        <v>19413</v>
      </c>
      <c r="G960">
        <v>46</v>
      </c>
      <c r="H960">
        <v>5042</v>
      </c>
      <c r="I960">
        <v>908153</v>
      </c>
      <c r="J960">
        <v>11157</v>
      </c>
      <c r="K960">
        <v>5909</v>
      </c>
      <c r="L960">
        <v>1779</v>
      </c>
      <c r="M960">
        <v>712752</v>
      </c>
      <c r="N960">
        <v>295990</v>
      </c>
      <c r="O960">
        <v>6459</v>
      </c>
      <c r="P960">
        <v>706339</v>
      </c>
      <c r="Q960">
        <v>22.1</v>
      </c>
      <c r="R960">
        <v>47874971</v>
      </c>
      <c r="S960">
        <v>31787299</v>
      </c>
      <c r="T960">
        <v>23480745</v>
      </c>
      <c r="U960">
        <v>77.959999999999994</v>
      </c>
      <c r="V960">
        <v>4.32</v>
      </c>
      <c r="W960">
        <v>1075</v>
      </c>
      <c r="X960">
        <v>3.02</v>
      </c>
      <c r="Y960">
        <v>85.26</v>
      </c>
    </row>
    <row r="961" spans="1:25" x14ac:dyDescent="0.3">
      <c r="A961" t="s">
        <v>26</v>
      </c>
      <c r="B961" t="s">
        <v>33</v>
      </c>
      <c r="C961" t="s">
        <v>39</v>
      </c>
      <c r="D961" s="1">
        <v>45156</v>
      </c>
      <c r="E961">
        <v>39319913</v>
      </c>
      <c r="F961">
        <v>12818</v>
      </c>
      <c r="G961">
        <v>27.7</v>
      </c>
      <c r="H961">
        <v>63574</v>
      </c>
      <c r="I961">
        <v>618508</v>
      </c>
      <c r="J961">
        <v>35135</v>
      </c>
      <c r="K961">
        <v>20512</v>
      </c>
      <c r="L961">
        <v>1893</v>
      </c>
      <c r="M961">
        <v>122331</v>
      </c>
      <c r="N961">
        <v>261261</v>
      </c>
      <c r="O961">
        <v>4096</v>
      </c>
      <c r="P961">
        <v>1599329</v>
      </c>
      <c r="Q961">
        <v>8.92</v>
      </c>
      <c r="R961">
        <v>43211205</v>
      </c>
      <c r="S961">
        <v>28917622</v>
      </c>
      <c r="T961">
        <v>8230362</v>
      </c>
      <c r="U961">
        <v>87.49</v>
      </c>
      <c r="V961">
        <v>2.27</v>
      </c>
      <c r="W961">
        <v>2101</v>
      </c>
      <c r="X961">
        <v>4.8600000000000003</v>
      </c>
      <c r="Y961">
        <v>17.22</v>
      </c>
    </row>
    <row r="962" spans="1:25" x14ac:dyDescent="0.3">
      <c r="A962" t="s">
        <v>31</v>
      </c>
      <c r="B962" t="s">
        <v>33</v>
      </c>
      <c r="C962" t="s">
        <v>40</v>
      </c>
      <c r="D962" s="1">
        <v>45157</v>
      </c>
      <c r="E962">
        <v>14118723</v>
      </c>
      <c r="F962">
        <v>4018</v>
      </c>
      <c r="G962">
        <v>45.5</v>
      </c>
      <c r="H962">
        <v>38201</v>
      </c>
      <c r="I962">
        <v>27393</v>
      </c>
      <c r="J962">
        <v>6696</v>
      </c>
      <c r="K962">
        <v>575</v>
      </c>
      <c r="L962">
        <v>1504</v>
      </c>
      <c r="M962">
        <v>769476</v>
      </c>
      <c r="N962">
        <v>66366</v>
      </c>
      <c r="O962">
        <v>1019</v>
      </c>
      <c r="P962">
        <v>1234548</v>
      </c>
      <c r="Q962">
        <v>1.76</v>
      </c>
      <c r="R962">
        <v>22216450</v>
      </c>
      <c r="S962">
        <v>35675342</v>
      </c>
      <c r="T962">
        <v>8262900</v>
      </c>
      <c r="U962">
        <v>70.650000000000006</v>
      </c>
      <c r="V962">
        <v>6.43</v>
      </c>
      <c r="W962">
        <v>3671</v>
      </c>
      <c r="X962">
        <v>0.77</v>
      </c>
      <c r="Y962">
        <v>48.63</v>
      </c>
    </row>
    <row r="963" spans="1:25" x14ac:dyDescent="0.3">
      <c r="A963" t="s">
        <v>30</v>
      </c>
      <c r="B963" t="s">
        <v>35</v>
      </c>
      <c r="C963" t="s">
        <v>41</v>
      </c>
      <c r="D963" s="1">
        <v>45158</v>
      </c>
      <c r="E963">
        <v>9027835</v>
      </c>
      <c r="F963">
        <v>960</v>
      </c>
      <c r="G963">
        <v>45.4</v>
      </c>
      <c r="H963">
        <v>15016</v>
      </c>
      <c r="I963">
        <v>582768</v>
      </c>
      <c r="J963">
        <v>27862</v>
      </c>
      <c r="K963">
        <v>38783</v>
      </c>
      <c r="L963">
        <v>1862</v>
      </c>
      <c r="M963">
        <v>626587</v>
      </c>
      <c r="N963">
        <v>156</v>
      </c>
      <c r="O963">
        <v>7928</v>
      </c>
      <c r="P963">
        <v>585087</v>
      </c>
      <c r="Q963">
        <v>4.28</v>
      </c>
      <c r="R963">
        <v>14385092</v>
      </c>
      <c r="S963">
        <v>4938291</v>
      </c>
      <c r="T963">
        <v>5695265</v>
      </c>
      <c r="U963">
        <v>76.05</v>
      </c>
      <c r="V963">
        <v>6.95</v>
      </c>
      <c r="W963">
        <v>4613</v>
      </c>
      <c r="X963">
        <v>2.88</v>
      </c>
      <c r="Y963">
        <v>73.39</v>
      </c>
    </row>
    <row r="964" spans="1:25" x14ac:dyDescent="0.3">
      <c r="A964" t="s">
        <v>26</v>
      </c>
      <c r="B964" t="s">
        <v>35</v>
      </c>
      <c r="C964" t="s">
        <v>40</v>
      </c>
      <c r="D964" s="1">
        <v>45159</v>
      </c>
      <c r="E964">
        <v>19050271</v>
      </c>
      <c r="F964">
        <v>18430</v>
      </c>
      <c r="G964">
        <v>42.5</v>
      </c>
      <c r="H964">
        <v>26022</v>
      </c>
      <c r="I964">
        <v>904675</v>
      </c>
      <c r="J964">
        <v>5190</v>
      </c>
      <c r="K964">
        <v>41934</v>
      </c>
      <c r="L964">
        <v>395</v>
      </c>
      <c r="M964">
        <v>437200</v>
      </c>
      <c r="N964">
        <v>293701</v>
      </c>
      <c r="O964">
        <v>9476</v>
      </c>
      <c r="P964">
        <v>511237</v>
      </c>
      <c r="Q964">
        <v>25.15</v>
      </c>
      <c r="R964">
        <v>23784392</v>
      </c>
      <c r="S964">
        <v>21866544</v>
      </c>
      <c r="T964">
        <v>28397918</v>
      </c>
      <c r="U964">
        <v>52.32</v>
      </c>
      <c r="V964">
        <v>5.13</v>
      </c>
      <c r="W964">
        <v>250</v>
      </c>
      <c r="X964">
        <v>4.01</v>
      </c>
      <c r="Y964">
        <v>77.400000000000006</v>
      </c>
    </row>
    <row r="965" spans="1:25" x14ac:dyDescent="0.3">
      <c r="A965" t="s">
        <v>27</v>
      </c>
      <c r="B965" t="s">
        <v>34</v>
      </c>
      <c r="C965" t="s">
        <v>38</v>
      </c>
      <c r="D965" s="1">
        <v>45160</v>
      </c>
      <c r="E965">
        <v>22470075</v>
      </c>
      <c r="F965">
        <v>15682</v>
      </c>
      <c r="G965">
        <v>22.7</v>
      </c>
      <c r="H965">
        <v>28938</v>
      </c>
      <c r="I965">
        <v>875722</v>
      </c>
      <c r="J965">
        <v>4663</v>
      </c>
      <c r="K965">
        <v>43252</v>
      </c>
      <c r="L965">
        <v>1374</v>
      </c>
      <c r="M965">
        <v>195441</v>
      </c>
      <c r="N965">
        <v>395559</v>
      </c>
      <c r="O965">
        <v>8254</v>
      </c>
      <c r="P965">
        <v>621417</v>
      </c>
      <c r="Q965">
        <v>21.94</v>
      </c>
      <c r="R965">
        <v>39069702</v>
      </c>
      <c r="S965">
        <v>33754505</v>
      </c>
      <c r="T965">
        <v>9589334</v>
      </c>
      <c r="U965">
        <v>92.42</v>
      </c>
      <c r="V965">
        <v>0.88</v>
      </c>
      <c r="W965">
        <v>4453</v>
      </c>
      <c r="X965">
        <v>2.68</v>
      </c>
      <c r="Y965">
        <v>78.47</v>
      </c>
    </row>
    <row r="966" spans="1:25" x14ac:dyDescent="0.3">
      <c r="A966" t="s">
        <v>30</v>
      </c>
      <c r="B966" t="s">
        <v>36</v>
      </c>
      <c r="C966" t="s">
        <v>40</v>
      </c>
      <c r="D966" s="1">
        <v>45161</v>
      </c>
      <c r="E966">
        <v>43135177</v>
      </c>
      <c r="F966">
        <v>16329</v>
      </c>
      <c r="G966">
        <v>40.1</v>
      </c>
      <c r="H966">
        <v>44678</v>
      </c>
      <c r="I966">
        <v>480551</v>
      </c>
      <c r="J966">
        <v>39830</v>
      </c>
      <c r="K966">
        <v>9197</v>
      </c>
      <c r="L966">
        <v>415</v>
      </c>
      <c r="M966">
        <v>176782</v>
      </c>
      <c r="N966">
        <v>448347</v>
      </c>
      <c r="O966">
        <v>5965</v>
      </c>
      <c r="P966">
        <v>1464122</v>
      </c>
      <c r="Q966">
        <v>19.93</v>
      </c>
      <c r="R966">
        <v>14921915</v>
      </c>
      <c r="S966">
        <v>26728309</v>
      </c>
      <c r="T966">
        <v>26120902</v>
      </c>
      <c r="U966">
        <v>82.5</v>
      </c>
      <c r="V966">
        <v>6.73</v>
      </c>
      <c r="W966">
        <v>3373</v>
      </c>
      <c r="X966">
        <v>0.55000000000000004</v>
      </c>
      <c r="Y966">
        <v>22.82</v>
      </c>
    </row>
    <row r="967" spans="1:25" x14ac:dyDescent="0.3">
      <c r="A967" t="s">
        <v>30</v>
      </c>
      <c r="B967" t="s">
        <v>34</v>
      </c>
      <c r="C967" t="s">
        <v>38</v>
      </c>
      <c r="D967" s="1">
        <v>45162</v>
      </c>
      <c r="E967">
        <v>34336286</v>
      </c>
      <c r="F967">
        <v>3179</v>
      </c>
      <c r="G967">
        <v>48.2</v>
      </c>
      <c r="H967">
        <v>62720</v>
      </c>
      <c r="I967">
        <v>891695</v>
      </c>
      <c r="J967">
        <v>4331</v>
      </c>
      <c r="K967">
        <v>7236</v>
      </c>
      <c r="L967">
        <v>1909</v>
      </c>
      <c r="M967">
        <v>844532</v>
      </c>
      <c r="N967">
        <v>132873</v>
      </c>
      <c r="O967">
        <v>2269</v>
      </c>
      <c r="P967">
        <v>1713238</v>
      </c>
      <c r="Q967">
        <v>3.92</v>
      </c>
      <c r="R967">
        <v>39905283</v>
      </c>
      <c r="S967">
        <v>19843295</v>
      </c>
      <c r="T967">
        <v>19661669</v>
      </c>
      <c r="U967">
        <v>84.39</v>
      </c>
      <c r="V967">
        <v>8.5</v>
      </c>
      <c r="W967">
        <v>3408</v>
      </c>
      <c r="X967">
        <v>2.96</v>
      </c>
      <c r="Y967">
        <v>19.25</v>
      </c>
    </row>
    <row r="968" spans="1:25" x14ac:dyDescent="0.3">
      <c r="A968" t="s">
        <v>28</v>
      </c>
      <c r="B968" t="s">
        <v>35</v>
      </c>
      <c r="C968" t="s">
        <v>37</v>
      </c>
      <c r="D968" s="1">
        <v>45163</v>
      </c>
      <c r="E968">
        <v>40716746</v>
      </c>
      <c r="F968">
        <v>5497</v>
      </c>
      <c r="G968">
        <v>39.799999999999997</v>
      </c>
      <c r="H968">
        <v>57805</v>
      </c>
      <c r="I968">
        <v>665467</v>
      </c>
      <c r="J968">
        <v>44648</v>
      </c>
      <c r="K968">
        <v>42157</v>
      </c>
      <c r="L968">
        <v>915</v>
      </c>
      <c r="M968">
        <v>341141</v>
      </c>
      <c r="N968">
        <v>187553</v>
      </c>
      <c r="O968">
        <v>8835</v>
      </c>
      <c r="P968">
        <v>1008470</v>
      </c>
      <c r="Q968">
        <v>19.2</v>
      </c>
      <c r="R968">
        <v>12222182</v>
      </c>
      <c r="S968">
        <v>17851414</v>
      </c>
      <c r="T968">
        <v>29333439</v>
      </c>
      <c r="U968">
        <v>67.3</v>
      </c>
      <c r="V968">
        <v>7.34</v>
      </c>
      <c r="W968">
        <v>3021</v>
      </c>
      <c r="X968">
        <v>3.1</v>
      </c>
      <c r="Y968">
        <v>59</v>
      </c>
    </row>
    <row r="969" spans="1:25" x14ac:dyDescent="0.3">
      <c r="A969" t="s">
        <v>31</v>
      </c>
      <c r="B969" t="s">
        <v>32</v>
      </c>
      <c r="C969" t="s">
        <v>37</v>
      </c>
      <c r="D969" s="1">
        <v>45164</v>
      </c>
      <c r="E969">
        <v>14784503</v>
      </c>
      <c r="F969">
        <v>6179</v>
      </c>
      <c r="G969">
        <v>28.6</v>
      </c>
      <c r="H969">
        <v>2986</v>
      </c>
      <c r="I969">
        <v>522397</v>
      </c>
      <c r="J969">
        <v>28549</v>
      </c>
      <c r="K969">
        <v>38668</v>
      </c>
      <c r="L969">
        <v>1910</v>
      </c>
      <c r="M969">
        <v>633399</v>
      </c>
      <c r="N969">
        <v>181610</v>
      </c>
      <c r="O969">
        <v>4721</v>
      </c>
      <c r="P969">
        <v>370432</v>
      </c>
      <c r="Q969">
        <v>23.16</v>
      </c>
      <c r="R969">
        <v>28735108</v>
      </c>
      <c r="S969">
        <v>17308304</v>
      </c>
      <c r="T969">
        <v>26539168</v>
      </c>
      <c r="U969">
        <v>30.46</v>
      </c>
      <c r="V969">
        <v>8.3800000000000008</v>
      </c>
      <c r="W969">
        <v>635</v>
      </c>
      <c r="X969">
        <v>3.67</v>
      </c>
      <c r="Y969">
        <v>74.11</v>
      </c>
    </row>
    <row r="970" spans="1:25" x14ac:dyDescent="0.3">
      <c r="A970" t="s">
        <v>31</v>
      </c>
      <c r="B970" t="s">
        <v>35</v>
      </c>
      <c r="C970" t="s">
        <v>39</v>
      </c>
      <c r="D970" s="1">
        <v>45165</v>
      </c>
      <c r="E970">
        <v>48622025</v>
      </c>
      <c r="F970">
        <v>5900</v>
      </c>
      <c r="G970">
        <v>34</v>
      </c>
      <c r="H970">
        <v>13161</v>
      </c>
      <c r="I970">
        <v>793425</v>
      </c>
      <c r="J970">
        <v>16246</v>
      </c>
      <c r="K970">
        <v>45891</v>
      </c>
      <c r="L970">
        <v>1074</v>
      </c>
      <c r="M970">
        <v>138059</v>
      </c>
      <c r="N970">
        <v>336083</v>
      </c>
      <c r="O970">
        <v>8408</v>
      </c>
      <c r="P970">
        <v>244761</v>
      </c>
      <c r="Q970">
        <v>25.82</v>
      </c>
      <c r="R970">
        <v>41290766</v>
      </c>
      <c r="S970">
        <v>7899859</v>
      </c>
      <c r="T970">
        <v>2268299</v>
      </c>
      <c r="U970">
        <v>3.56</v>
      </c>
      <c r="V970">
        <v>2.4</v>
      </c>
      <c r="W970">
        <v>3395</v>
      </c>
      <c r="X970">
        <v>3.83</v>
      </c>
      <c r="Y970">
        <v>31.91</v>
      </c>
    </row>
    <row r="971" spans="1:25" x14ac:dyDescent="0.3">
      <c r="A971" t="s">
        <v>25</v>
      </c>
      <c r="B971" t="s">
        <v>36</v>
      </c>
      <c r="C971" t="s">
        <v>41</v>
      </c>
      <c r="D971" s="1">
        <v>45166</v>
      </c>
      <c r="E971">
        <v>39884827</v>
      </c>
      <c r="F971">
        <v>7496</v>
      </c>
      <c r="G971">
        <v>38.700000000000003</v>
      </c>
      <c r="H971">
        <v>21689</v>
      </c>
      <c r="I971">
        <v>94650</v>
      </c>
      <c r="J971">
        <v>25761</v>
      </c>
      <c r="K971">
        <v>4321</v>
      </c>
      <c r="L971">
        <v>80</v>
      </c>
      <c r="M971">
        <v>847624</v>
      </c>
      <c r="N971">
        <v>80736</v>
      </c>
      <c r="O971">
        <v>195</v>
      </c>
      <c r="P971">
        <v>991221</v>
      </c>
      <c r="Q971">
        <v>0.4</v>
      </c>
      <c r="R971">
        <v>29582271</v>
      </c>
      <c r="S971">
        <v>35212459</v>
      </c>
      <c r="T971">
        <v>1142252</v>
      </c>
      <c r="U971">
        <v>93.57</v>
      </c>
      <c r="V971">
        <v>8.94</v>
      </c>
      <c r="W971">
        <v>3904</v>
      </c>
      <c r="X971">
        <v>3.88</v>
      </c>
      <c r="Y971">
        <v>10.47</v>
      </c>
    </row>
    <row r="972" spans="1:25" x14ac:dyDescent="0.3">
      <c r="A972" t="s">
        <v>25</v>
      </c>
      <c r="B972" t="s">
        <v>35</v>
      </c>
      <c r="C972" t="s">
        <v>39</v>
      </c>
      <c r="D972" s="1">
        <v>45167</v>
      </c>
      <c r="E972">
        <v>26326151</v>
      </c>
      <c r="F972">
        <v>11999</v>
      </c>
      <c r="G972">
        <v>34.299999999999997</v>
      </c>
      <c r="H972">
        <v>61924</v>
      </c>
      <c r="I972">
        <v>759685</v>
      </c>
      <c r="J972">
        <v>3262</v>
      </c>
      <c r="K972">
        <v>44224</v>
      </c>
      <c r="L972">
        <v>35</v>
      </c>
      <c r="M972">
        <v>586900</v>
      </c>
      <c r="N972">
        <v>369941</v>
      </c>
      <c r="O972">
        <v>3273</v>
      </c>
      <c r="P972">
        <v>243821</v>
      </c>
      <c r="Q972">
        <v>20.53</v>
      </c>
      <c r="R972">
        <v>19660769</v>
      </c>
      <c r="S972">
        <v>24364013</v>
      </c>
      <c r="T972">
        <v>22548043</v>
      </c>
      <c r="U972">
        <v>58.61</v>
      </c>
      <c r="V972">
        <v>3.56</v>
      </c>
      <c r="W972">
        <v>4654</v>
      </c>
      <c r="X972">
        <v>3.35</v>
      </c>
      <c r="Y972">
        <v>71.67</v>
      </c>
    </row>
    <row r="973" spans="1:25" x14ac:dyDescent="0.3">
      <c r="A973" t="s">
        <v>25</v>
      </c>
      <c r="B973" t="s">
        <v>36</v>
      </c>
      <c r="C973" t="s">
        <v>38</v>
      </c>
      <c r="D973" s="1">
        <v>45168</v>
      </c>
      <c r="E973">
        <v>18934369</v>
      </c>
      <c r="F973">
        <v>8569</v>
      </c>
      <c r="G973">
        <v>21.8</v>
      </c>
      <c r="H973">
        <v>64745</v>
      </c>
      <c r="I973">
        <v>519196</v>
      </c>
      <c r="J973">
        <v>46088</v>
      </c>
      <c r="K973">
        <v>41626</v>
      </c>
      <c r="L973">
        <v>1090</v>
      </c>
      <c r="M973">
        <v>239540</v>
      </c>
      <c r="N973">
        <v>66583</v>
      </c>
      <c r="O973">
        <v>5110</v>
      </c>
      <c r="P973">
        <v>1062451</v>
      </c>
      <c r="Q973">
        <v>0.56999999999999995</v>
      </c>
      <c r="R973">
        <v>28064268</v>
      </c>
      <c r="S973">
        <v>35355349</v>
      </c>
      <c r="T973">
        <v>20352530</v>
      </c>
      <c r="U973">
        <v>29.81</v>
      </c>
      <c r="V973">
        <v>0.63</v>
      </c>
      <c r="W973">
        <v>3474</v>
      </c>
      <c r="X973">
        <v>1.1599999999999999</v>
      </c>
      <c r="Y973">
        <v>29.97</v>
      </c>
    </row>
    <row r="974" spans="1:25" x14ac:dyDescent="0.3">
      <c r="A974" t="s">
        <v>25</v>
      </c>
      <c r="B974" t="s">
        <v>36</v>
      </c>
      <c r="C974" t="s">
        <v>39</v>
      </c>
      <c r="D974" s="1">
        <v>45169</v>
      </c>
      <c r="E974">
        <v>43928295</v>
      </c>
      <c r="F974">
        <v>364</v>
      </c>
      <c r="G974">
        <v>28</v>
      </c>
      <c r="H974">
        <v>2211</v>
      </c>
      <c r="I974">
        <v>905027</v>
      </c>
      <c r="J974">
        <v>7036</v>
      </c>
      <c r="K974">
        <v>25699</v>
      </c>
      <c r="L974">
        <v>640</v>
      </c>
      <c r="M974">
        <v>803292</v>
      </c>
      <c r="N974">
        <v>20605</v>
      </c>
      <c r="O974">
        <v>7401</v>
      </c>
      <c r="P974">
        <v>1601083</v>
      </c>
      <c r="Q974">
        <v>21.21</v>
      </c>
      <c r="R974">
        <v>38149359</v>
      </c>
      <c r="S974">
        <v>33833265</v>
      </c>
      <c r="T974">
        <v>17670536</v>
      </c>
      <c r="U974">
        <v>14.91</v>
      </c>
      <c r="V974">
        <v>8.51</v>
      </c>
      <c r="W974">
        <v>4150</v>
      </c>
      <c r="X974">
        <v>2.08</v>
      </c>
      <c r="Y974">
        <v>16.64</v>
      </c>
    </row>
    <row r="975" spans="1:25" x14ac:dyDescent="0.3">
      <c r="A975" t="s">
        <v>27</v>
      </c>
      <c r="B975" t="s">
        <v>36</v>
      </c>
      <c r="C975" t="s">
        <v>40</v>
      </c>
      <c r="D975" s="1">
        <v>45170</v>
      </c>
      <c r="E975">
        <v>49464527</v>
      </c>
      <c r="F975">
        <v>11787</v>
      </c>
      <c r="G975">
        <v>43.7</v>
      </c>
      <c r="H975">
        <v>1229</v>
      </c>
      <c r="I975">
        <v>53066</v>
      </c>
      <c r="J975">
        <v>22322</v>
      </c>
      <c r="K975">
        <v>6093</v>
      </c>
      <c r="L975">
        <v>881</v>
      </c>
      <c r="M975">
        <v>758239</v>
      </c>
      <c r="N975">
        <v>399869</v>
      </c>
      <c r="O975">
        <v>3212</v>
      </c>
      <c r="P975">
        <v>823614</v>
      </c>
      <c r="Q975">
        <v>19.07</v>
      </c>
      <c r="R975">
        <v>19947879</v>
      </c>
      <c r="S975">
        <v>2135621</v>
      </c>
      <c r="T975">
        <v>7922505</v>
      </c>
      <c r="U975">
        <v>82.95</v>
      </c>
      <c r="V975">
        <v>9.4499999999999993</v>
      </c>
      <c r="W975">
        <v>409</v>
      </c>
      <c r="X975">
        <v>3.9</v>
      </c>
      <c r="Y975">
        <v>14.77</v>
      </c>
    </row>
    <row r="976" spans="1:25" x14ac:dyDescent="0.3">
      <c r="A976" t="s">
        <v>27</v>
      </c>
      <c r="B976" t="s">
        <v>36</v>
      </c>
      <c r="C976" t="s">
        <v>38</v>
      </c>
      <c r="D976" s="1">
        <v>45171</v>
      </c>
      <c r="E976">
        <v>7583610</v>
      </c>
      <c r="F976">
        <v>1184</v>
      </c>
      <c r="G976">
        <v>45.6</v>
      </c>
      <c r="H976">
        <v>49542</v>
      </c>
      <c r="I976">
        <v>374994</v>
      </c>
      <c r="J976">
        <v>19131</v>
      </c>
      <c r="K976">
        <v>12608</v>
      </c>
      <c r="L976">
        <v>1690</v>
      </c>
      <c r="M976">
        <v>746278</v>
      </c>
      <c r="N976">
        <v>33625</v>
      </c>
      <c r="O976">
        <v>2755</v>
      </c>
      <c r="P976">
        <v>1785477</v>
      </c>
      <c r="Q976">
        <v>4.45</v>
      </c>
      <c r="R976">
        <v>8422719</v>
      </c>
      <c r="S976">
        <v>28800707</v>
      </c>
      <c r="T976">
        <v>20564368</v>
      </c>
      <c r="U976">
        <v>83.65</v>
      </c>
      <c r="V976">
        <v>6.73</v>
      </c>
      <c r="W976">
        <v>3719</v>
      </c>
      <c r="X976">
        <v>4.7699999999999996</v>
      </c>
      <c r="Y976">
        <v>31.49</v>
      </c>
    </row>
    <row r="977" spans="1:25" x14ac:dyDescent="0.3">
      <c r="A977" t="s">
        <v>30</v>
      </c>
      <c r="B977" t="s">
        <v>36</v>
      </c>
      <c r="C977" t="s">
        <v>37</v>
      </c>
      <c r="D977" s="1">
        <v>45172</v>
      </c>
      <c r="E977">
        <v>16911413</v>
      </c>
      <c r="F977">
        <v>10988</v>
      </c>
      <c r="G977">
        <v>22.4</v>
      </c>
      <c r="H977">
        <v>15345</v>
      </c>
      <c r="I977">
        <v>830374</v>
      </c>
      <c r="J977">
        <v>4677</v>
      </c>
      <c r="K977">
        <v>16950</v>
      </c>
      <c r="L977">
        <v>756</v>
      </c>
      <c r="M977">
        <v>345682</v>
      </c>
      <c r="N977">
        <v>211574</v>
      </c>
      <c r="O977">
        <v>1521</v>
      </c>
      <c r="P977">
        <v>436485</v>
      </c>
      <c r="Q977">
        <v>22.98</v>
      </c>
      <c r="R977">
        <v>44883174</v>
      </c>
      <c r="S977">
        <v>5899198</v>
      </c>
      <c r="T977">
        <v>19347505</v>
      </c>
      <c r="U977">
        <v>81.45</v>
      </c>
      <c r="V977">
        <v>2.7</v>
      </c>
      <c r="W977">
        <v>4359</v>
      </c>
      <c r="X977">
        <v>0.49</v>
      </c>
      <c r="Y977">
        <v>59.27</v>
      </c>
    </row>
    <row r="978" spans="1:25" x14ac:dyDescent="0.3">
      <c r="A978" t="s">
        <v>29</v>
      </c>
      <c r="B978" t="s">
        <v>32</v>
      </c>
      <c r="C978" t="s">
        <v>41</v>
      </c>
      <c r="D978" s="1">
        <v>45173</v>
      </c>
      <c r="E978">
        <v>29821828</v>
      </c>
      <c r="F978">
        <v>15638</v>
      </c>
      <c r="G978">
        <v>48.5</v>
      </c>
      <c r="H978">
        <v>32819</v>
      </c>
      <c r="I978">
        <v>17138</v>
      </c>
      <c r="J978">
        <v>7972</v>
      </c>
      <c r="K978">
        <v>26890</v>
      </c>
      <c r="L978">
        <v>622</v>
      </c>
      <c r="M978">
        <v>507305</v>
      </c>
      <c r="N978">
        <v>96108</v>
      </c>
      <c r="O978">
        <v>5674</v>
      </c>
      <c r="P978">
        <v>342925</v>
      </c>
      <c r="Q978">
        <v>2.0499999999999998</v>
      </c>
      <c r="R978">
        <v>10692529</v>
      </c>
      <c r="S978">
        <v>28566457</v>
      </c>
      <c r="T978">
        <v>15903463</v>
      </c>
      <c r="U978">
        <v>64.510000000000005</v>
      </c>
      <c r="V978">
        <v>2.89</v>
      </c>
      <c r="W978">
        <v>3527</v>
      </c>
      <c r="X978">
        <v>2.72</v>
      </c>
      <c r="Y978">
        <v>35.840000000000003</v>
      </c>
    </row>
    <row r="979" spans="1:25" x14ac:dyDescent="0.3">
      <c r="A979" t="s">
        <v>28</v>
      </c>
      <c r="B979" t="s">
        <v>34</v>
      </c>
      <c r="C979" t="s">
        <v>38</v>
      </c>
      <c r="D979" s="1">
        <v>45174</v>
      </c>
      <c r="E979">
        <v>49601978</v>
      </c>
      <c r="F979">
        <v>8397</v>
      </c>
      <c r="G979">
        <v>28.5</v>
      </c>
      <c r="H979">
        <v>48779</v>
      </c>
      <c r="I979">
        <v>119558</v>
      </c>
      <c r="J979">
        <v>15329</v>
      </c>
      <c r="K979">
        <v>2590</v>
      </c>
      <c r="L979">
        <v>1703</v>
      </c>
      <c r="M979">
        <v>265661</v>
      </c>
      <c r="N979">
        <v>44448</v>
      </c>
      <c r="O979">
        <v>1080</v>
      </c>
      <c r="P979">
        <v>1056033</v>
      </c>
      <c r="Q979">
        <v>24.79</v>
      </c>
      <c r="R979">
        <v>4676637</v>
      </c>
      <c r="S979">
        <v>37475478</v>
      </c>
      <c r="T979">
        <v>29160742</v>
      </c>
      <c r="U979">
        <v>36.6</v>
      </c>
      <c r="V979">
        <v>4.93</v>
      </c>
      <c r="W979">
        <v>4708</v>
      </c>
      <c r="X979">
        <v>1.63</v>
      </c>
      <c r="Y979">
        <v>2.0699999999999998</v>
      </c>
    </row>
    <row r="980" spans="1:25" x14ac:dyDescent="0.3">
      <c r="A980" t="s">
        <v>28</v>
      </c>
      <c r="B980" t="s">
        <v>33</v>
      </c>
      <c r="C980" t="s">
        <v>38</v>
      </c>
      <c r="D980" s="1">
        <v>45175</v>
      </c>
      <c r="E980">
        <v>17756299</v>
      </c>
      <c r="F980">
        <v>5642</v>
      </c>
      <c r="G980">
        <v>39.200000000000003</v>
      </c>
      <c r="H980">
        <v>66584</v>
      </c>
      <c r="I980">
        <v>259480</v>
      </c>
      <c r="J980">
        <v>37032</v>
      </c>
      <c r="K980">
        <v>46622</v>
      </c>
      <c r="L980">
        <v>1504</v>
      </c>
      <c r="M980">
        <v>348905</v>
      </c>
      <c r="N980">
        <v>202359</v>
      </c>
      <c r="O980">
        <v>5623</v>
      </c>
      <c r="P980">
        <v>925253</v>
      </c>
      <c r="Q980">
        <v>7.86</v>
      </c>
      <c r="R980">
        <v>35094037</v>
      </c>
      <c r="S980">
        <v>39820715</v>
      </c>
      <c r="T980">
        <v>16768424</v>
      </c>
      <c r="U980">
        <v>30.41</v>
      </c>
      <c r="V980">
        <v>9.0299999999999994</v>
      </c>
      <c r="W980">
        <v>2862</v>
      </c>
      <c r="X980">
        <v>1.2</v>
      </c>
      <c r="Y980">
        <v>9.69</v>
      </c>
    </row>
    <row r="981" spans="1:25" x14ac:dyDescent="0.3">
      <c r="A981" t="s">
        <v>25</v>
      </c>
      <c r="B981" t="s">
        <v>34</v>
      </c>
      <c r="C981" t="s">
        <v>40</v>
      </c>
      <c r="D981" s="1">
        <v>45176</v>
      </c>
      <c r="E981">
        <v>27060140</v>
      </c>
      <c r="F981">
        <v>18158</v>
      </c>
      <c r="G981">
        <v>42.1</v>
      </c>
      <c r="H981">
        <v>20950</v>
      </c>
      <c r="I981">
        <v>438743</v>
      </c>
      <c r="J981">
        <v>35901</v>
      </c>
      <c r="K981">
        <v>42331</v>
      </c>
      <c r="L981">
        <v>467</v>
      </c>
      <c r="M981">
        <v>191696</v>
      </c>
      <c r="N981">
        <v>269517</v>
      </c>
      <c r="O981">
        <v>721</v>
      </c>
      <c r="P981">
        <v>1082640</v>
      </c>
      <c r="Q981">
        <v>20.67</v>
      </c>
      <c r="R981">
        <v>19092376</v>
      </c>
      <c r="S981">
        <v>7137900</v>
      </c>
      <c r="T981">
        <v>19010571</v>
      </c>
      <c r="U981">
        <v>0.86</v>
      </c>
      <c r="V981">
        <v>1.92</v>
      </c>
      <c r="W981">
        <v>94</v>
      </c>
      <c r="X981">
        <v>2.58</v>
      </c>
      <c r="Y981">
        <v>29.05</v>
      </c>
    </row>
    <row r="982" spans="1:25" x14ac:dyDescent="0.3">
      <c r="A982" t="s">
        <v>30</v>
      </c>
      <c r="B982" t="s">
        <v>36</v>
      </c>
      <c r="C982" t="s">
        <v>41</v>
      </c>
      <c r="D982" s="1">
        <v>45177</v>
      </c>
      <c r="E982">
        <v>2401740</v>
      </c>
      <c r="F982">
        <v>19777</v>
      </c>
      <c r="G982">
        <v>44</v>
      </c>
      <c r="H982">
        <v>16173</v>
      </c>
      <c r="I982">
        <v>272334</v>
      </c>
      <c r="J982">
        <v>44380</v>
      </c>
      <c r="K982">
        <v>9396</v>
      </c>
      <c r="L982">
        <v>1165</v>
      </c>
      <c r="M982">
        <v>772206</v>
      </c>
      <c r="N982">
        <v>326480</v>
      </c>
      <c r="O982">
        <v>1562</v>
      </c>
      <c r="P982">
        <v>1976901</v>
      </c>
      <c r="Q982">
        <v>27.71</v>
      </c>
      <c r="R982">
        <v>41757851</v>
      </c>
      <c r="S982">
        <v>1530732</v>
      </c>
      <c r="T982">
        <v>15861070</v>
      </c>
      <c r="U982">
        <v>83.36</v>
      </c>
      <c r="V982">
        <v>8.35</v>
      </c>
      <c r="W982">
        <v>2800</v>
      </c>
      <c r="X982">
        <v>3.07</v>
      </c>
      <c r="Y982">
        <v>65.97</v>
      </c>
    </row>
    <row r="983" spans="1:25" x14ac:dyDescent="0.3">
      <c r="A983" t="s">
        <v>26</v>
      </c>
      <c r="B983" t="s">
        <v>32</v>
      </c>
      <c r="C983" t="s">
        <v>37</v>
      </c>
      <c r="D983" s="1">
        <v>45178</v>
      </c>
      <c r="E983">
        <v>39702825</v>
      </c>
      <c r="F983">
        <v>17320</v>
      </c>
      <c r="G983">
        <v>48.3</v>
      </c>
      <c r="H983">
        <v>59032</v>
      </c>
      <c r="I983">
        <v>879691</v>
      </c>
      <c r="J983">
        <v>20493</v>
      </c>
      <c r="K983">
        <v>19532</v>
      </c>
      <c r="L983">
        <v>355</v>
      </c>
      <c r="M983">
        <v>746158</v>
      </c>
      <c r="N983">
        <v>206741</v>
      </c>
      <c r="O983">
        <v>639</v>
      </c>
      <c r="P983">
        <v>1689120</v>
      </c>
      <c r="Q983">
        <v>10.19</v>
      </c>
      <c r="R983">
        <v>7359315</v>
      </c>
      <c r="S983">
        <v>8857343</v>
      </c>
      <c r="T983">
        <v>26731486</v>
      </c>
      <c r="U983">
        <v>8.74</v>
      </c>
      <c r="V983">
        <v>3.27</v>
      </c>
      <c r="W983">
        <v>683</v>
      </c>
      <c r="X983">
        <v>0.15</v>
      </c>
      <c r="Y983">
        <v>9.85</v>
      </c>
    </row>
    <row r="984" spans="1:25" x14ac:dyDescent="0.3">
      <c r="A984" t="s">
        <v>29</v>
      </c>
      <c r="B984" t="s">
        <v>35</v>
      </c>
      <c r="C984" t="s">
        <v>38</v>
      </c>
      <c r="D984" s="1">
        <v>45179</v>
      </c>
      <c r="E984">
        <v>46705667</v>
      </c>
      <c r="F984">
        <v>11047</v>
      </c>
      <c r="G984">
        <v>28</v>
      </c>
      <c r="H984">
        <v>29036</v>
      </c>
      <c r="I984">
        <v>79422</v>
      </c>
      <c r="J984">
        <v>18595</v>
      </c>
      <c r="K984">
        <v>26234</v>
      </c>
      <c r="L984">
        <v>708</v>
      </c>
      <c r="M984">
        <v>444665</v>
      </c>
      <c r="N984">
        <v>134707</v>
      </c>
      <c r="O984">
        <v>4260</v>
      </c>
      <c r="P984">
        <v>885729</v>
      </c>
      <c r="Q984">
        <v>15.09</v>
      </c>
      <c r="R984">
        <v>8192934</v>
      </c>
      <c r="S984">
        <v>15960619</v>
      </c>
      <c r="T984">
        <v>11101198</v>
      </c>
      <c r="U984">
        <v>63.08</v>
      </c>
      <c r="V984">
        <v>8.18</v>
      </c>
      <c r="W984">
        <v>1260</v>
      </c>
      <c r="X984">
        <v>3.92</v>
      </c>
      <c r="Y984">
        <v>56.07</v>
      </c>
    </row>
    <row r="985" spans="1:25" x14ac:dyDescent="0.3">
      <c r="A985" t="s">
        <v>30</v>
      </c>
      <c r="B985" t="s">
        <v>32</v>
      </c>
      <c r="C985" t="s">
        <v>38</v>
      </c>
      <c r="D985" s="1">
        <v>45180</v>
      </c>
      <c r="E985">
        <v>33291816</v>
      </c>
      <c r="F985">
        <v>771</v>
      </c>
      <c r="G985">
        <v>45.5</v>
      </c>
      <c r="H985">
        <v>15292</v>
      </c>
      <c r="I985">
        <v>712058</v>
      </c>
      <c r="J985">
        <v>21923</v>
      </c>
      <c r="K985">
        <v>14645</v>
      </c>
      <c r="L985">
        <v>1494</v>
      </c>
      <c r="M985">
        <v>714128</v>
      </c>
      <c r="N985">
        <v>411993</v>
      </c>
      <c r="O985">
        <v>5190</v>
      </c>
      <c r="P985">
        <v>1808523</v>
      </c>
      <c r="Q985">
        <v>13.89</v>
      </c>
      <c r="R985">
        <v>34834370</v>
      </c>
      <c r="S985">
        <v>1597506</v>
      </c>
      <c r="T985">
        <v>1499163</v>
      </c>
      <c r="U985">
        <v>50.41</v>
      </c>
      <c r="V985">
        <v>9.24</v>
      </c>
      <c r="W985">
        <v>1799</v>
      </c>
      <c r="X985">
        <v>4.12</v>
      </c>
      <c r="Y985">
        <v>11.99</v>
      </c>
    </row>
    <row r="986" spans="1:25" x14ac:dyDescent="0.3">
      <c r="A986" t="s">
        <v>29</v>
      </c>
      <c r="B986" t="s">
        <v>36</v>
      </c>
      <c r="C986" t="s">
        <v>40</v>
      </c>
      <c r="D986" s="1">
        <v>45181</v>
      </c>
      <c r="E986">
        <v>31473687</v>
      </c>
      <c r="F986">
        <v>9154</v>
      </c>
      <c r="G986">
        <v>22.2</v>
      </c>
      <c r="H986">
        <v>4052</v>
      </c>
      <c r="I986">
        <v>607603</v>
      </c>
      <c r="J986">
        <v>46926</v>
      </c>
      <c r="K986">
        <v>681</v>
      </c>
      <c r="L986">
        <v>1644</v>
      </c>
      <c r="M986">
        <v>591108</v>
      </c>
      <c r="N986">
        <v>214196</v>
      </c>
      <c r="O986">
        <v>3736</v>
      </c>
      <c r="P986">
        <v>1259303</v>
      </c>
      <c r="Q986">
        <v>4.7300000000000004</v>
      </c>
      <c r="R986">
        <v>34165636</v>
      </c>
      <c r="S986">
        <v>2621645</v>
      </c>
      <c r="T986">
        <v>25903491</v>
      </c>
      <c r="U986">
        <v>52.67</v>
      </c>
      <c r="V986">
        <v>4.5599999999999996</v>
      </c>
      <c r="W986">
        <v>3291</v>
      </c>
      <c r="X986">
        <v>4.83</v>
      </c>
      <c r="Y986">
        <v>21.16</v>
      </c>
    </row>
    <row r="987" spans="1:25" x14ac:dyDescent="0.3">
      <c r="A987" t="s">
        <v>29</v>
      </c>
      <c r="B987" t="s">
        <v>32</v>
      </c>
      <c r="C987" t="s">
        <v>39</v>
      </c>
      <c r="D987" s="1">
        <v>45182</v>
      </c>
      <c r="E987">
        <v>25030166</v>
      </c>
      <c r="F987">
        <v>19791</v>
      </c>
      <c r="G987">
        <v>40.6</v>
      </c>
      <c r="H987">
        <v>45377</v>
      </c>
      <c r="I987">
        <v>30086</v>
      </c>
      <c r="J987">
        <v>9735</v>
      </c>
      <c r="K987">
        <v>33555</v>
      </c>
      <c r="L987">
        <v>1019</v>
      </c>
      <c r="M987">
        <v>235567</v>
      </c>
      <c r="N987">
        <v>107257</v>
      </c>
      <c r="O987">
        <v>7746</v>
      </c>
      <c r="P987">
        <v>1974744</v>
      </c>
      <c r="Q987">
        <v>17.71</v>
      </c>
      <c r="R987">
        <v>5322432</v>
      </c>
      <c r="S987">
        <v>28323994</v>
      </c>
      <c r="T987">
        <v>7225206</v>
      </c>
      <c r="U987">
        <v>92.67</v>
      </c>
      <c r="V987">
        <v>3.97</v>
      </c>
      <c r="W987">
        <v>2818</v>
      </c>
      <c r="X987">
        <v>0.99</v>
      </c>
      <c r="Y987">
        <v>17.22</v>
      </c>
    </row>
    <row r="988" spans="1:25" x14ac:dyDescent="0.3">
      <c r="A988" t="s">
        <v>29</v>
      </c>
      <c r="B988" t="s">
        <v>32</v>
      </c>
      <c r="C988" t="s">
        <v>37</v>
      </c>
      <c r="D988" s="1">
        <v>45183</v>
      </c>
      <c r="E988">
        <v>7895873</v>
      </c>
      <c r="F988">
        <v>920</v>
      </c>
      <c r="G988">
        <v>41.7</v>
      </c>
      <c r="H988">
        <v>68838</v>
      </c>
      <c r="I988">
        <v>935826</v>
      </c>
      <c r="J988">
        <v>34457</v>
      </c>
      <c r="K988">
        <v>26865</v>
      </c>
      <c r="L988">
        <v>1911</v>
      </c>
      <c r="M988">
        <v>737161</v>
      </c>
      <c r="N988">
        <v>1008</v>
      </c>
      <c r="O988">
        <v>89</v>
      </c>
      <c r="P988">
        <v>161353</v>
      </c>
      <c r="Q988">
        <v>22.29</v>
      </c>
      <c r="R988">
        <v>34593166</v>
      </c>
      <c r="S988">
        <v>20801202</v>
      </c>
      <c r="T988">
        <v>26493760</v>
      </c>
      <c r="U988">
        <v>3.16</v>
      </c>
      <c r="V988">
        <v>8.1199999999999992</v>
      </c>
      <c r="W988">
        <v>643</v>
      </c>
      <c r="X988">
        <v>3.01</v>
      </c>
      <c r="Y988">
        <v>6.72</v>
      </c>
    </row>
    <row r="989" spans="1:25" x14ac:dyDescent="0.3">
      <c r="A989" t="s">
        <v>30</v>
      </c>
      <c r="B989" t="s">
        <v>36</v>
      </c>
      <c r="C989" t="s">
        <v>41</v>
      </c>
      <c r="D989" s="1">
        <v>45184</v>
      </c>
      <c r="E989">
        <v>38639378</v>
      </c>
      <c r="F989">
        <v>6801</v>
      </c>
      <c r="G989">
        <v>39.700000000000003</v>
      </c>
      <c r="H989">
        <v>68819</v>
      </c>
      <c r="I989">
        <v>126604</v>
      </c>
      <c r="J989">
        <v>42531</v>
      </c>
      <c r="K989">
        <v>35800</v>
      </c>
      <c r="L989">
        <v>1614</v>
      </c>
      <c r="M989">
        <v>818059</v>
      </c>
      <c r="N989">
        <v>252399</v>
      </c>
      <c r="O989">
        <v>1251</v>
      </c>
      <c r="P989">
        <v>1831927</v>
      </c>
      <c r="Q989">
        <v>27.51</v>
      </c>
      <c r="R989">
        <v>29398361</v>
      </c>
      <c r="S989">
        <v>22767100</v>
      </c>
      <c r="T989">
        <v>3973369</v>
      </c>
      <c r="U989">
        <v>77.34</v>
      </c>
      <c r="V989">
        <v>5.53</v>
      </c>
      <c r="W989">
        <v>1474</v>
      </c>
      <c r="X989">
        <v>2.19</v>
      </c>
      <c r="Y989">
        <v>67.13</v>
      </c>
    </row>
    <row r="990" spans="1:25" x14ac:dyDescent="0.3">
      <c r="A990" t="s">
        <v>25</v>
      </c>
      <c r="B990" t="s">
        <v>32</v>
      </c>
      <c r="C990" t="s">
        <v>38</v>
      </c>
      <c r="D990" s="1">
        <v>45185</v>
      </c>
      <c r="E990">
        <v>44738976</v>
      </c>
      <c r="F990">
        <v>16931</v>
      </c>
      <c r="G990">
        <v>26.1</v>
      </c>
      <c r="H990">
        <v>16620</v>
      </c>
      <c r="I990">
        <v>888246</v>
      </c>
      <c r="J990">
        <v>7727</v>
      </c>
      <c r="K990">
        <v>46595</v>
      </c>
      <c r="L990">
        <v>901</v>
      </c>
      <c r="M990">
        <v>396912</v>
      </c>
      <c r="N990">
        <v>201325</v>
      </c>
      <c r="O990">
        <v>9294</v>
      </c>
      <c r="P990">
        <v>1286463</v>
      </c>
      <c r="Q990">
        <v>25.52</v>
      </c>
      <c r="R990">
        <v>26173816</v>
      </c>
      <c r="S990">
        <v>21894715</v>
      </c>
      <c r="T990">
        <v>12888043</v>
      </c>
      <c r="U990">
        <v>5.21</v>
      </c>
      <c r="V990">
        <v>7</v>
      </c>
      <c r="W990">
        <v>1976</v>
      </c>
      <c r="X990">
        <v>1.74</v>
      </c>
      <c r="Y990">
        <v>46.34</v>
      </c>
    </row>
    <row r="991" spans="1:25" x14ac:dyDescent="0.3">
      <c r="A991" t="s">
        <v>28</v>
      </c>
      <c r="B991" t="s">
        <v>33</v>
      </c>
      <c r="C991" t="s">
        <v>38</v>
      </c>
      <c r="D991" s="1">
        <v>45186</v>
      </c>
      <c r="E991">
        <v>47778684</v>
      </c>
      <c r="F991">
        <v>1806</v>
      </c>
      <c r="G991">
        <v>45.9</v>
      </c>
      <c r="H991">
        <v>31461</v>
      </c>
      <c r="I991">
        <v>120324</v>
      </c>
      <c r="J991">
        <v>7764</v>
      </c>
      <c r="K991">
        <v>14270</v>
      </c>
      <c r="L991">
        <v>672</v>
      </c>
      <c r="M991">
        <v>337732</v>
      </c>
      <c r="N991">
        <v>108452</v>
      </c>
      <c r="O991">
        <v>4703</v>
      </c>
      <c r="P991">
        <v>426037</v>
      </c>
      <c r="Q991">
        <v>15.3</v>
      </c>
      <c r="R991">
        <v>10087912</v>
      </c>
      <c r="S991">
        <v>31496189</v>
      </c>
      <c r="T991">
        <v>4826616</v>
      </c>
      <c r="U991">
        <v>3.82</v>
      </c>
      <c r="V991">
        <v>6.42</v>
      </c>
      <c r="W991">
        <v>906</v>
      </c>
      <c r="X991">
        <v>2.87</v>
      </c>
      <c r="Y991">
        <v>83.11</v>
      </c>
    </row>
    <row r="992" spans="1:25" x14ac:dyDescent="0.3">
      <c r="A992" t="s">
        <v>28</v>
      </c>
      <c r="B992" t="s">
        <v>33</v>
      </c>
      <c r="C992" t="s">
        <v>37</v>
      </c>
      <c r="D992" s="1">
        <v>45187</v>
      </c>
      <c r="E992">
        <v>45355106</v>
      </c>
      <c r="F992">
        <v>1167</v>
      </c>
      <c r="G992">
        <v>23.4</v>
      </c>
      <c r="H992">
        <v>21750</v>
      </c>
      <c r="I992">
        <v>477785</v>
      </c>
      <c r="J992">
        <v>45771</v>
      </c>
      <c r="K992">
        <v>1084</v>
      </c>
      <c r="L992">
        <v>438</v>
      </c>
      <c r="M992">
        <v>181286</v>
      </c>
      <c r="N992">
        <v>96067</v>
      </c>
      <c r="O992">
        <v>348</v>
      </c>
      <c r="P992">
        <v>760129</v>
      </c>
      <c r="Q992">
        <v>21.57</v>
      </c>
      <c r="R992">
        <v>29533934</v>
      </c>
      <c r="S992">
        <v>23350320</v>
      </c>
      <c r="T992">
        <v>28201057</v>
      </c>
      <c r="U992">
        <v>42.98</v>
      </c>
      <c r="V992">
        <v>1.95</v>
      </c>
      <c r="W992">
        <v>601</v>
      </c>
      <c r="X992">
        <v>3.93</v>
      </c>
      <c r="Y992">
        <v>9.89</v>
      </c>
    </row>
    <row r="993" spans="1:25" x14ac:dyDescent="0.3">
      <c r="A993" t="s">
        <v>25</v>
      </c>
      <c r="B993" t="s">
        <v>32</v>
      </c>
      <c r="C993" t="s">
        <v>39</v>
      </c>
      <c r="D993" s="1">
        <v>45188</v>
      </c>
      <c r="E993">
        <v>8373491</v>
      </c>
      <c r="F993">
        <v>11651</v>
      </c>
      <c r="G993">
        <v>19.7</v>
      </c>
      <c r="H993">
        <v>10472</v>
      </c>
      <c r="I993">
        <v>741970</v>
      </c>
      <c r="J993">
        <v>27599</v>
      </c>
      <c r="K993">
        <v>42686</v>
      </c>
      <c r="L993">
        <v>530</v>
      </c>
      <c r="M993">
        <v>294565</v>
      </c>
      <c r="N993">
        <v>351233</v>
      </c>
      <c r="O993">
        <v>4052</v>
      </c>
      <c r="P993">
        <v>943151</v>
      </c>
      <c r="Q993">
        <v>24.02</v>
      </c>
      <c r="R993">
        <v>44828129</v>
      </c>
      <c r="S993">
        <v>39254798</v>
      </c>
      <c r="T993">
        <v>2606894</v>
      </c>
      <c r="U993">
        <v>6.31</v>
      </c>
      <c r="V993">
        <v>8.5299999999999994</v>
      </c>
      <c r="W993">
        <v>4188</v>
      </c>
      <c r="X993">
        <v>0.21</v>
      </c>
      <c r="Y993">
        <v>14.47</v>
      </c>
    </row>
    <row r="994" spans="1:25" x14ac:dyDescent="0.3">
      <c r="A994" t="s">
        <v>29</v>
      </c>
      <c r="B994" t="s">
        <v>35</v>
      </c>
      <c r="C994" t="s">
        <v>38</v>
      </c>
      <c r="D994" s="1">
        <v>45189</v>
      </c>
      <c r="E994">
        <v>18817940</v>
      </c>
      <c r="F994">
        <v>2878</v>
      </c>
      <c r="G994">
        <v>41</v>
      </c>
      <c r="H994">
        <v>58602</v>
      </c>
      <c r="I994">
        <v>392065</v>
      </c>
      <c r="J994">
        <v>818</v>
      </c>
      <c r="K994">
        <v>9485</v>
      </c>
      <c r="L994">
        <v>126</v>
      </c>
      <c r="M994">
        <v>791678</v>
      </c>
      <c r="N994">
        <v>35179</v>
      </c>
      <c r="O994">
        <v>2941</v>
      </c>
      <c r="P994">
        <v>1643782</v>
      </c>
      <c r="Q994">
        <v>14.8</v>
      </c>
      <c r="R994">
        <v>43914483</v>
      </c>
      <c r="S994">
        <v>5338578</v>
      </c>
      <c r="T994">
        <v>8955216</v>
      </c>
      <c r="U994">
        <v>78.91</v>
      </c>
      <c r="V994">
        <v>2.36</v>
      </c>
      <c r="W994">
        <v>2938</v>
      </c>
      <c r="X994">
        <v>4.8499999999999996</v>
      </c>
      <c r="Y994">
        <v>30.65</v>
      </c>
    </row>
    <row r="995" spans="1:25" x14ac:dyDescent="0.3">
      <c r="A995" t="s">
        <v>26</v>
      </c>
      <c r="B995" t="s">
        <v>36</v>
      </c>
      <c r="C995" t="s">
        <v>37</v>
      </c>
      <c r="D995" s="1">
        <v>45190</v>
      </c>
      <c r="E995">
        <v>6375293</v>
      </c>
      <c r="F995">
        <v>15046</v>
      </c>
      <c r="G995">
        <v>33.200000000000003</v>
      </c>
      <c r="H995">
        <v>26523</v>
      </c>
      <c r="I995">
        <v>4435</v>
      </c>
      <c r="J995">
        <v>47207</v>
      </c>
      <c r="K995">
        <v>12888</v>
      </c>
      <c r="L995">
        <v>204</v>
      </c>
      <c r="M995">
        <v>855467</v>
      </c>
      <c r="N995">
        <v>212728</v>
      </c>
      <c r="O995">
        <v>8437</v>
      </c>
      <c r="P995">
        <v>1262633</v>
      </c>
      <c r="Q995">
        <v>3.46</v>
      </c>
      <c r="R995">
        <v>49200708</v>
      </c>
      <c r="S995">
        <v>8100424</v>
      </c>
      <c r="T995">
        <v>21244965</v>
      </c>
      <c r="U995">
        <v>52.96</v>
      </c>
      <c r="V995">
        <v>9.36</v>
      </c>
      <c r="W995">
        <v>4324</v>
      </c>
      <c r="X995">
        <v>4.07</v>
      </c>
      <c r="Y995">
        <v>76.59</v>
      </c>
    </row>
    <row r="996" spans="1:25" x14ac:dyDescent="0.3">
      <c r="A996" t="s">
        <v>31</v>
      </c>
      <c r="B996" t="s">
        <v>33</v>
      </c>
      <c r="C996" t="s">
        <v>40</v>
      </c>
      <c r="D996" s="1">
        <v>45191</v>
      </c>
      <c r="E996">
        <v>47005570</v>
      </c>
      <c r="F996">
        <v>18081</v>
      </c>
      <c r="G996">
        <v>45.2</v>
      </c>
      <c r="H996">
        <v>31766</v>
      </c>
      <c r="I996">
        <v>888937</v>
      </c>
      <c r="J996">
        <v>47845</v>
      </c>
      <c r="K996">
        <v>15130</v>
      </c>
      <c r="L996">
        <v>28</v>
      </c>
      <c r="M996">
        <v>65850</v>
      </c>
      <c r="N996">
        <v>111989</v>
      </c>
      <c r="O996">
        <v>271</v>
      </c>
      <c r="P996">
        <v>477015</v>
      </c>
      <c r="Q996">
        <v>13.14</v>
      </c>
      <c r="R996">
        <v>44345950</v>
      </c>
      <c r="S996">
        <v>10412739</v>
      </c>
      <c r="T996">
        <v>19080491</v>
      </c>
      <c r="U996">
        <v>2.9</v>
      </c>
      <c r="V996">
        <v>2.88</v>
      </c>
      <c r="W996">
        <v>1530</v>
      </c>
      <c r="X996">
        <v>3.78</v>
      </c>
      <c r="Y996">
        <v>30.58</v>
      </c>
    </row>
    <row r="997" spans="1:25" x14ac:dyDescent="0.3">
      <c r="A997" t="s">
        <v>30</v>
      </c>
      <c r="B997" t="s">
        <v>35</v>
      </c>
      <c r="C997" t="s">
        <v>39</v>
      </c>
      <c r="D997" s="1">
        <v>45192</v>
      </c>
      <c r="E997">
        <v>29986438</v>
      </c>
      <c r="F997">
        <v>13928</v>
      </c>
      <c r="G997">
        <v>30.3</v>
      </c>
      <c r="H997">
        <v>67060</v>
      </c>
      <c r="I997">
        <v>840763</v>
      </c>
      <c r="J997">
        <v>37289</v>
      </c>
      <c r="K997">
        <v>23157</v>
      </c>
      <c r="L997">
        <v>444</v>
      </c>
      <c r="M997">
        <v>181917</v>
      </c>
      <c r="N997">
        <v>262163</v>
      </c>
      <c r="O997">
        <v>2030</v>
      </c>
      <c r="P997">
        <v>877611</v>
      </c>
      <c r="Q997">
        <v>25.27</v>
      </c>
      <c r="R997">
        <v>45089778</v>
      </c>
      <c r="S997">
        <v>38705038</v>
      </c>
      <c r="T997">
        <v>12806322</v>
      </c>
      <c r="U997">
        <v>4.05</v>
      </c>
      <c r="V997">
        <v>7.47</v>
      </c>
      <c r="W997">
        <v>656</v>
      </c>
      <c r="X997">
        <v>3.83</v>
      </c>
      <c r="Y997">
        <v>40.840000000000003</v>
      </c>
    </row>
    <row r="998" spans="1:25" x14ac:dyDescent="0.3">
      <c r="A998" t="s">
        <v>31</v>
      </c>
      <c r="B998" t="s">
        <v>32</v>
      </c>
      <c r="C998" t="s">
        <v>41</v>
      </c>
      <c r="D998" s="1">
        <v>45193</v>
      </c>
      <c r="E998">
        <v>43118713</v>
      </c>
      <c r="F998">
        <v>7042</v>
      </c>
      <c r="G998">
        <v>23.4</v>
      </c>
      <c r="H998">
        <v>10079</v>
      </c>
      <c r="I998">
        <v>161014</v>
      </c>
      <c r="J998">
        <v>33892</v>
      </c>
      <c r="K998">
        <v>1996</v>
      </c>
      <c r="L998">
        <v>965</v>
      </c>
      <c r="M998">
        <v>241178</v>
      </c>
      <c r="N998">
        <v>311567</v>
      </c>
      <c r="O998">
        <v>7836</v>
      </c>
      <c r="P998">
        <v>338088</v>
      </c>
      <c r="Q998">
        <v>17.899999999999999</v>
      </c>
      <c r="R998">
        <v>25410124</v>
      </c>
      <c r="S998">
        <v>21676210</v>
      </c>
      <c r="T998">
        <v>19000928</v>
      </c>
      <c r="U998">
        <v>61.27</v>
      </c>
      <c r="V998">
        <v>3.2</v>
      </c>
      <c r="W998">
        <v>721</v>
      </c>
      <c r="X998">
        <v>2.0099999999999998</v>
      </c>
      <c r="Y998">
        <v>30.16</v>
      </c>
    </row>
    <row r="999" spans="1:25" x14ac:dyDescent="0.3">
      <c r="A999" t="s">
        <v>25</v>
      </c>
      <c r="B999" t="s">
        <v>35</v>
      </c>
      <c r="C999" t="s">
        <v>38</v>
      </c>
      <c r="D999" s="1">
        <v>45194</v>
      </c>
      <c r="E999">
        <v>27554353</v>
      </c>
      <c r="F999">
        <v>13828</v>
      </c>
      <c r="G999">
        <v>44.8</v>
      </c>
      <c r="H999">
        <v>9399</v>
      </c>
      <c r="I999">
        <v>715995</v>
      </c>
      <c r="J999">
        <v>5660</v>
      </c>
      <c r="K999">
        <v>43603</v>
      </c>
      <c r="L999">
        <v>1742</v>
      </c>
      <c r="M999">
        <v>343775</v>
      </c>
      <c r="N999">
        <v>438636</v>
      </c>
      <c r="O999">
        <v>9657</v>
      </c>
      <c r="P999">
        <v>1138718</v>
      </c>
      <c r="Q999">
        <v>21.73</v>
      </c>
      <c r="R999">
        <v>28816554</v>
      </c>
      <c r="S999">
        <v>15770356</v>
      </c>
      <c r="T999">
        <v>26477435</v>
      </c>
      <c r="U999">
        <v>80.61</v>
      </c>
      <c r="V999">
        <v>3.52</v>
      </c>
      <c r="W999">
        <v>3365</v>
      </c>
      <c r="X999">
        <v>3.78</v>
      </c>
      <c r="Y999">
        <v>8.02</v>
      </c>
    </row>
    <row r="1000" spans="1:25" x14ac:dyDescent="0.3">
      <c r="A1000" t="s">
        <v>26</v>
      </c>
      <c r="B1000" t="s">
        <v>34</v>
      </c>
      <c r="C1000" t="s">
        <v>37</v>
      </c>
      <c r="D1000" s="1">
        <v>45195</v>
      </c>
      <c r="E1000">
        <v>35148748</v>
      </c>
      <c r="F1000">
        <v>6821</v>
      </c>
      <c r="G1000">
        <v>35.6</v>
      </c>
      <c r="H1000">
        <v>61726</v>
      </c>
      <c r="I1000">
        <v>423275</v>
      </c>
      <c r="J1000">
        <v>29521</v>
      </c>
      <c r="K1000">
        <v>32440</v>
      </c>
      <c r="L1000">
        <v>463</v>
      </c>
      <c r="M1000">
        <v>22563</v>
      </c>
      <c r="N1000">
        <v>485414</v>
      </c>
      <c r="O1000">
        <v>9387</v>
      </c>
      <c r="P1000">
        <v>28603</v>
      </c>
      <c r="Q1000">
        <v>5.56</v>
      </c>
      <c r="R1000">
        <v>24772096</v>
      </c>
      <c r="S1000">
        <v>24322944</v>
      </c>
      <c r="T1000">
        <v>18765268</v>
      </c>
      <c r="U1000">
        <v>43.78</v>
      </c>
      <c r="V1000">
        <v>3.45</v>
      </c>
      <c r="W1000">
        <v>66</v>
      </c>
      <c r="X1000">
        <v>2</v>
      </c>
      <c r="Y1000">
        <v>93.94</v>
      </c>
    </row>
    <row r="1001" spans="1:25" x14ac:dyDescent="0.3">
      <c r="A1001" t="s">
        <v>30</v>
      </c>
      <c r="B1001" t="s">
        <v>33</v>
      </c>
      <c r="C1001" t="s">
        <v>40</v>
      </c>
      <c r="D1001" s="1">
        <v>45196</v>
      </c>
      <c r="E1001">
        <v>4800915</v>
      </c>
      <c r="F1001">
        <v>16576</v>
      </c>
      <c r="G1001">
        <v>24.1</v>
      </c>
      <c r="H1001">
        <v>17532</v>
      </c>
      <c r="I1001">
        <v>713917</v>
      </c>
      <c r="J1001">
        <v>38409</v>
      </c>
      <c r="K1001">
        <v>41971</v>
      </c>
      <c r="L1001">
        <v>1303</v>
      </c>
      <c r="M1001">
        <v>641904</v>
      </c>
      <c r="N1001">
        <v>352153</v>
      </c>
      <c r="O1001">
        <v>7041</v>
      </c>
      <c r="P1001">
        <v>1882466</v>
      </c>
      <c r="Q1001">
        <v>28.93</v>
      </c>
      <c r="R1001">
        <v>4345237</v>
      </c>
      <c r="S1001">
        <v>38955828</v>
      </c>
      <c r="T1001">
        <v>19186969</v>
      </c>
      <c r="U1001">
        <v>55.46</v>
      </c>
      <c r="V1001">
        <v>7.6</v>
      </c>
      <c r="W1001">
        <v>2923</v>
      </c>
      <c r="X1001">
        <v>4.5</v>
      </c>
      <c r="Y1001">
        <v>54.85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7A452-F61E-4EA6-8632-5874A46F68B9}">
  <dimension ref="A3:G15"/>
  <sheetViews>
    <sheetView showGridLines="0" workbookViewId="0">
      <selection activeCell="A3" sqref="A3"/>
    </sheetView>
  </sheetViews>
  <sheetFormatPr defaultRowHeight="14.4" x14ac:dyDescent="0.3"/>
  <cols>
    <col min="1" max="1" width="16.77734375" bestFit="1" customWidth="1"/>
    <col min="2" max="2" width="17.5546875" bestFit="1" customWidth="1"/>
    <col min="3" max="3" width="18.6640625" bestFit="1" customWidth="1"/>
    <col min="4" max="4" width="21.88671875" bestFit="1" customWidth="1"/>
    <col min="5" max="5" width="20" customWidth="1"/>
    <col min="6" max="6" width="18.44140625" customWidth="1"/>
  </cols>
  <sheetData>
    <row r="3" spans="1:7" x14ac:dyDescent="0.3">
      <c r="A3" t="s">
        <v>42</v>
      </c>
      <c r="B3" t="s">
        <v>43</v>
      </c>
      <c r="C3" t="s">
        <v>44</v>
      </c>
      <c r="D3" t="s">
        <v>45</v>
      </c>
      <c r="E3" t="s">
        <v>47</v>
      </c>
      <c r="F3" t="s">
        <v>48</v>
      </c>
    </row>
    <row r="4" spans="1:7" x14ac:dyDescent="0.3">
      <c r="A4" s="8">
        <v>26015126047</v>
      </c>
      <c r="B4" s="9">
        <v>509726714</v>
      </c>
      <c r="C4" s="9">
        <v>24136772</v>
      </c>
      <c r="D4" s="9">
        <v>447434709</v>
      </c>
      <c r="E4" s="9">
        <v>240113921</v>
      </c>
      <c r="F4">
        <v>49.601140000000079</v>
      </c>
    </row>
    <row r="5" spans="1:7" x14ac:dyDescent="0.3">
      <c r="A5" t="s">
        <v>60</v>
      </c>
      <c r="B5" t="s">
        <v>61</v>
      </c>
      <c r="C5" t="s">
        <v>61</v>
      </c>
      <c r="D5" t="s">
        <v>62</v>
      </c>
      <c r="E5" t="s">
        <v>62</v>
      </c>
    </row>
    <row r="9" spans="1:7" x14ac:dyDescent="0.3">
      <c r="A9" t="s">
        <v>42</v>
      </c>
      <c r="B9" t="s">
        <v>49</v>
      </c>
      <c r="C9" t="s">
        <v>50</v>
      </c>
      <c r="D9" t="s">
        <v>51</v>
      </c>
      <c r="E9" t="s">
        <v>46</v>
      </c>
      <c r="F9" t="s">
        <v>52</v>
      </c>
      <c r="G9" t="s">
        <v>53</v>
      </c>
    </row>
    <row r="10" spans="1:7" x14ac:dyDescent="0.3">
      <c r="A10" s="7">
        <f>GETPIVOTDATA("Sum of Population",$A$3)</f>
        <v>26015126047</v>
      </c>
      <c r="B10" s="9">
        <f>GETPIVOTDATA("Sum of Total_Cases",$A$3)</f>
        <v>509726714</v>
      </c>
      <c r="C10" s="9">
        <f>GETPIVOTDATA("Sum of Total_Deaths",$A$3)</f>
        <v>24136772</v>
      </c>
      <c r="D10" s="9">
        <f>GETPIVOTDATA("Sum of Total_Recovered",$A$3)</f>
        <v>447434709</v>
      </c>
      <c r="E10" s="3">
        <f>GETPIVOTDATA("Sum of Total_Recovered",$A$3)/GETPIVOTDATA("Sum of Total_Cases",$A$3)</f>
        <v>0.87779332868161197</v>
      </c>
      <c r="F10" s="9">
        <f>GETPIVOTDATA("Sum of Active_Cases",$A$3)</f>
        <v>240113921</v>
      </c>
      <c r="G10">
        <f>GETPIVOTDATA("Average of Vaccination_Rate (%)",$A$3)</f>
        <v>49.601140000000079</v>
      </c>
    </row>
    <row r="15" spans="1:7" x14ac:dyDescent="0.3">
      <c r="A15" s="6"/>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9DB0-5450-478E-8C28-7225C79C2666}">
  <dimension ref="A3:B15"/>
  <sheetViews>
    <sheetView workbookViewId="0">
      <selection activeCell="N22" sqref="N22"/>
    </sheetView>
  </sheetViews>
  <sheetFormatPr defaultRowHeight="14.4" x14ac:dyDescent="0.3"/>
  <cols>
    <col min="1" max="1" width="12.5546875" bestFit="1" customWidth="1"/>
    <col min="2" max="2" width="17.5546875" bestFit="1" customWidth="1"/>
  </cols>
  <sheetData>
    <row r="3" spans="1:2" x14ac:dyDescent="0.3">
      <c r="A3" s="4" t="s">
        <v>54</v>
      </c>
      <c r="B3" t="s">
        <v>43</v>
      </c>
    </row>
    <row r="4" spans="1:2" x14ac:dyDescent="0.3">
      <c r="A4" s="5" t="s">
        <v>56</v>
      </c>
      <c r="B4" s="9">
        <v>185548198</v>
      </c>
    </row>
    <row r="5" spans="1:2" x14ac:dyDescent="0.3">
      <c r="A5" s="5" t="s">
        <v>57</v>
      </c>
      <c r="B5" s="9">
        <v>186854863</v>
      </c>
    </row>
    <row r="6" spans="1:2" x14ac:dyDescent="0.3">
      <c r="A6" s="5" t="s">
        <v>58</v>
      </c>
      <c r="B6" s="9">
        <v>137323653</v>
      </c>
    </row>
    <row r="7" spans="1:2" x14ac:dyDescent="0.3">
      <c r="A7" s="5" t="s">
        <v>55</v>
      </c>
      <c r="B7" s="9">
        <v>509726714</v>
      </c>
    </row>
    <row r="15" spans="1:2" x14ac:dyDescent="0.3">
      <c r="A15" t="s">
        <v>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4C25-3AED-4234-8EB0-82424F3BBAD5}">
  <dimension ref="A3:B13"/>
  <sheetViews>
    <sheetView workbookViewId="0">
      <selection activeCell="M14" sqref="M14"/>
    </sheetView>
  </sheetViews>
  <sheetFormatPr defaultRowHeight="14.4" x14ac:dyDescent="0.3"/>
  <cols>
    <col min="1" max="1" width="12.5546875" bestFit="1" customWidth="1"/>
    <col min="2" max="2" width="27.44140625" bestFit="1" customWidth="1"/>
  </cols>
  <sheetData>
    <row r="3" spans="1:2" x14ac:dyDescent="0.3">
      <c r="A3" s="4" t="s">
        <v>54</v>
      </c>
      <c r="B3" t="s">
        <v>59</v>
      </c>
    </row>
    <row r="4" spans="1:2" x14ac:dyDescent="0.3">
      <c r="A4" s="5" t="s">
        <v>56</v>
      </c>
      <c r="B4" s="8">
        <v>9567490074</v>
      </c>
    </row>
    <row r="5" spans="1:2" x14ac:dyDescent="0.3">
      <c r="A5" s="5" t="s">
        <v>57</v>
      </c>
      <c r="B5" s="8">
        <v>9653859329</v>
      </c>
    </row>
    <row r="6" spans="1:2" x14ac:dyDescent="0.3">
      <c r="A6" s="5" t="s">
        <v>58</v>
      </c>
      <c r="B6" s="8">
        <v>6746138708</v>
      </c>
    </row>
    <row r="7" spans="1:2" x14ac:dyDescent="0.3">
      <c r="A7" s="5" t="s">
        <v>55</v>
      </c>
      <c r="B7" s="8">
        <v>25967488111</v>
      </c>
    </row>
    <row r="13" spans="1:2" x14ac:dyDescent="0.3">
      <c r="A13" t="s">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F6AC-6030-4182-AD22-5C6F96B5D5DB}">
  <dimension ref="A3:B16"/>
  <sheetViews>
    <sheetView workbookViewId="0">
      <selection activeCell="L15" sqref="L15"/>
    </sheetView>
  </sheetViews>
  <sheetFormatPr defaultRowHeight="14.4" x14ac:dyDescent="0.3"/>
  <cols>
    <col min="1" max="1" width="12.5546875" bestFit="1" customWidth="1"/>
    <col min="2" max="2" width="17.5546875" bestFit="1" customWidth="1"/>
  </cols>
  <sheetData>
    <row r="3" spans="1:2" x14ac:dyDescent="0.3">
      <c r="A3" s="4" t="s">
        <v>54</v>
      </c>
      <c r="B3" t="s">
        <v>43</v>
      </c>
    </row>
    <row r="4" spans="1:2" x14ac:dyDescent="0.3">
      <c r="A4" s="5" t="s">
        <v>28</v>
      </c>
      <c r="B4" s="9">
        <v>69428982</v>
      </c>
    </row>
    <row r="5" spans="1:2" x14ac:dyDescent="0.3">
      <c r="A5" s="5" t="s">
        <v>30</v>
      </c>
      <c r="B5" s="9">
        <v>66828491</v>
      </c>
    </row>
    <row r="6" spans="1:2" x14ac:dyDescent="0.3">
      <c r="A6" s="5" t="s">
        <v>27</v>
      </c>
      <c r="B6" s="9">
        <v>71277946</v>
      </c>
    </row>
    <row r="7" spans="1:2" x14ac:dyDescent="0.3">
      <c r="A7" s="5" t="s">
        <v>31</v>
      </c>
      <c r="B7" s="9">
        <v>74706676</v>
      </c>
    </row>
    <row r="8" spans="1:2" x14ac:dyDescent="0.3">
      <c r="A8" s="5" t="s">
        <v>25</v>
      </c>
      <c r="B8" s="9">
        <v>72979841</v>
      </c>
    </row>
    <row r="9" spans="1:2" x14ac:dyDescent="0.3">
      <c r="A9" s="5" t="s">
        <v>26</v>
      </c>
      <c r="B9" s="9">
        <v>83272676</v>
      </c>
    </row>
    <row r="10" spans="1:2" x14ac:dyDescent="0.3">
      <c r="A10" s="5" t="s">
        <v>29</v>
      </c>
      <c r="B10" s="9">
        <v>71232102</v>
      </c>
    </row>
    <row r="11" spans="1:2" x14ac:dyDescent="0.3">
      <c r="A11" s="5" t="s">
        <v>55</v>
      </c>
      <c r="B11" s="9">
        <v>509726714</v>
      </c>
    </row>
    <row r="16" spans="1:2" x14ac:dyDescent="0.3">
      <c r="A16" t="s">
        <v>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4BDB3-A097-4B3E-977F-7FDF73483A61}">
  <dimension ref="A3:B14"/>
  <sheetViews>
    <sheetView workbookViewId="0">
      <selection activeCell="K9" sqref="K9"/>
    </sheetView>
  </sheetViews>
  <sheetFormatPr defaultRowHeight="14.4" x14ac:dyDescent="0.3"/>
  <cols>
    <col min="1" max="1" width="12.5546875" bestFit="1" customWidth="1"/>
    <col min="2" max="2" width="18.6640625" bestFit="1" customWidth="1"/>
  </cols>
  <sheetData>
    <row r="3" spans="1:2" x14ac:dyDescent="0.3">
      <c r="A3" s="4" t="s">
        <v>54</v>
      </c>
      <c r="B3" t="s">
        <v>44</v>
      </c>
    </row>
    <row r="4" spans="1:2" x14ac:dyDescent="0.3">
      <c r="A4" s="5" t="s">
        <v>28</v>
      </c>
      <c r="B4" s="9">
        <v>3079766</v>
      </c>
    </row>
    <row r="5" spans="1:2" x14ac:dyDescent="0.3">
      <c r="A5" s="5" t="s">
        <v>30</v>
      </c>
      <c r="B5" s="9">
        <v>3156550</v>
      </c>
    </row>
    <row r="6" spans="1:2" x14ac:dyDescent="0.3">
      <c r="A6" s="5" t="s">
        <v>27</v>
      </c>
      <c r="B6" s="9">
        <v>3486931</v>
      </c>
    </row>
    <row r="7" spans="1:2" x14ac:dyDescent="0.3">
      <c r="A7" s="5" t="s">
        <v>31</v>
      </c>
      <c r="B7" s="9">
        <v>3593138</v>
      </c>
    </row>
    <row r="8" spans="1:2" x14ac:dyDescent="0.3">
      <c r="A8" s="5" t="s">
        <v>25</v>
      </c>
      <c r="B8" s="9">
        <v>3521119</v>
      </c>
    </row>
    <row r="9" spans="1:2" x14ac:dyDescent="0.3">
      <c r="A9" s="5" t="s">
        <v>26</v>
      </c>
      <c r="B9" s="9">
        <v>3761242</v>
      </c>
    </row>
    <row r="10" spans="1:2" x14ac:dyDescent="0.3">
      <c r="A10" s="5" t="s">
        <v>29</v>
      </c>
      <c r="B10" s="9">
        <v>3538026</v>
      </c>
    </row>
    <row r="11" spans="1:2" x14ac:dyDescent="0.3">
      <c r="A11" s="5" t="s">
        <v>55</v>
      </c>
      <c r="B11" s="9">
        <v>24136772</v>
      </c>
    </row>
    <row r="14" spans="1:2" x14ac:dyDescent="0.3">
      <c r="A14" s="5" t="s">
        <v>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D0C8-7F32-411D-89B9-ECDE30EB6474}">
  <dimension ref="A3:B14"/>
  <sheetViews>
    <sheetView workbookViewId="0">
      <selection activeCell="M13" sqref="M13"/>
    </sheetView>
  </sheetViews>
  <sheetFormatPr defaultRowHeight="14.4" x14ac:dyDescent="0.3"/>
  <cols>
    <col min="1" max="1" width="21.88671875" bestFit="1" customWidth="1"/>
    <col min="2" max="2" width="18.6640625" bestFit="1" customWidth="1"/>
  </cols>
  <sheetData>
    <row r="3" spans="1:2" x14ac:dyDescent="0.3">
      <c r="A3" t="s">
        <v>45</v>
      </c>
      <c r="B3" t="s">
        <v>44</v>
      </c>
    </row>
    <row r="4" spans="1:2" x14ac:dyDescent="0.3">
      <c r="A4" s="9">
        <v>447434709</v>
      </c>
      <c r="B4" s="9">
        <v>24136772</v>
      </c>
    </row>
    <row r="14" spans="1:2" x14ac:dyDescent="0.3">
      <c r="A14" t="s">
        <v>62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607D-7C66-4720-A29F-D609CCC3EA7B}">
  <dimension ref="A3:E22"/>
  <sheetViews>
    <sheetView workbookViewId="0">
      <selection activeCell="G7" sqref="G7"/>
    </sheetView>
  </sheetViews>
  <sheetFormatPr defaultRowHeight="14.4" x14ac:dyDescent="0.3"/>
  <cols>
    <col min="1" max="1" width="12.5546875" bestFit="1" customWidth="1"/>
    <col min="2" max="2" width="24.5546875" bestFit="1" customWidth="1"/>
    <col min="3" max="3" width="16.77734375" bestFit="1" customWidth="1"/>
  </cols>
  <sheetData>
    <row r="3" spans="1:5" x14ac:dyDescent="0.3">
      <c r="A3" s="4" t="s">
        <v>54</v>
      </c>
      <c r="B3" t="s">
        <v>63</v>
      </c>
      <c r="C3" t="s">
        <v>42</v>
      </c>
    </row>
    <row r="4" spans="1:5" x14ac:dyDescent="0.3">
      <c r="A4" s="5" t="s">
        <v>28</v>
      </c>
      <c r="B4" s="10">
        <v>34473.338461538464</v>
      </c>
      <c r="C4" s="8">
        <v>3448571892</v>
      </c>
    </row>
    <row r="5" spans="1:5" x14ac:dyDescent="0.3">
      <c r="A5" s="5" t="s">
        <v>30</v>
      </c>
      <c r="B5" s="10">
        <v>32661.237037037037</v>
      </c>
      <c r="C5" s="8">
        <v>3601053624</v>
      </c>
    </row>
    <row r="6" spans="1:5" x14ac:dyDescent="0.3">
      <c r="A6" s="5" t="s">
        <v>27</v>
      </c>
      <c r="B6" s="10">
        <v>31687.97972972973</v>
      </c>
      <c r="C6" s="8">
        <v>3627068601</v>
      </c>
    </row>
    <row r="7" spans="1:5" x14ac:dyDescent="0.3">
      <c r="A7" s="5" t="s">
        <v>31</v>
      </c>
      <c r="B7" s="10">
        <v>34352.038461538461</v>
      </c>
      <c r="C7" s="8">
        <v>3943176894</v>
      </c>
    </row>
    <row r="8" spans="1:5" x14ac:dyDescent="0.3">
      <c r="A8" s="5" t="s">
        <v>25</v>
      </c>
      <c r="B8" s="10">
        <v>36275.159420289856</v>
      </c>
      <c r="C8" s="8">
        <v>3973264681</v>
      </c>
    </row>
    <row r="9" spans="1:5" x14ac:dyDescent="0.3">
      <c r="A9" s="5" t="s">
        <v>26</v>
      </c>
      <c r="B9" s="10">
        <v>35500.019230769234</v>
      </c>
      <c r="C9" s="8">
        <v>3772454740</v>
      </c>
    </row>
    <row r="10" spans="1:5" x14ac:dyDescent="0.3">
      <c r="A10" s="5" t="s">
        <v>29</v>
      </c>
      <c r="B10" s="10">
        <v>39074.664233576645</v>
      </c>
      <c r="C10" s="8">
        <v>3649535615</v>
      </c>
    </row>
    <row r="11" spans="1:5" x14ac:dyDescent="0.3">
      <c r="A11" s="5" t="s">
        <v>55</v>
      </c>
      <c r="B11" s="10">
        <v>34836.743999999999</v>
      </c>
      <c r="C11" s="8">
        <v>26015126047</v>
      </c>
    </row>
    <row r="12" spans="1:5" x14ac:dyDescent="0.3">
      <c r="C12" t="s">
        <v>60</v>
      </c>
    </row>
    <row r="14" spans="1:5" x14ac:dyDescent="0.3">
      <c r="A14" s="5" t="s">
        <v>0</v>
      </c>
      <c r="B14" t="s">
        <v>63</v>
      </c>
      <c r="C14" t="s">
        <v>42</v>
      </c>
    </row>
    <row r="15" spans="1:5" x14ac:dyDescent="0.3">
      <c r="A15" t="s">
        <v>28</v>
      </c>
      <c r="B15" s="10">
        <f>GETPIVOTDATA("Average of GDP_Per_Capita",$A$3,"Country","Brazil")</f>
        <v>34473.338461538464</v>
      </c>
      <c r="C15" s="8">
        <f>GETPIVOTDATA("Sum of Population",$A$3,"Country","Brazil")</f>
        <v>3448571892</v>
      </c>
    </row>
    <row r="16" spans="1:5" x14ac:dyDescent="0.3">
      <c r="A16" t="s">
        <v>30</v>
      </c>
      <c r="B16" s="10">
        <f>GETPIVOTDATA("Average of GDP_Per_Capita",$A$3,"Country","France")</f>
        <v>32661.237037037037</v>
      </c>
      <c r="C16" s="8">
        <f>GETPIVOTDATA("Sum of Population",$A$3,"Country","France")</f>
        <v>3601053624</v>
      </c>
      <c r="E16" s="11"/>
    </row>
    <row r="17" spans="1:3" x14ac:dyDescent="0.3">
      <c r="A17" t="s">
        <v>27</v>
      </c>
      <c r="B17" s="10">
        <f>GETPIVOTDATA("Average of GDP_Per_Capita",$A$3,"Country","Germany")</f>
        <v>31687.97972972973</v>
      </c>
      <c r="C17" s="8">
        <f>GETPIVOTDATA("Sum of Population",$A$3,"Country","Germany")</f>
        <v>3627068601</v>
      </c>
    </row>
    <row r="18" spans="1:3" x14ac:dyDescent="0.3">
      <c r="A18" s="5" t="s">
        <v>31</v>
      </c>
      <c r="B18" s="10">
        <f>GETPIVOTDATA("Average of GDP_Per_Capita",$A$3,"Country","India")</f>
        <v>34352.038461538461</v>
      </c>
      <c r="C18" s="8">
        <f>GETPIVOTDATA("Sum of Population",$A$3,"Country","India")</f>
        <v>3943176894</v>
      </c>
    </row>
    <row r="19" spans="1:3" x14ac:dyDescent="0.3">
      <c r="A19" s="5" t="s">
        <v>25</v>
      </c>
      <c r="B19" s="10">
        <f>GETPIVOTDATA("Average of GDP_Per_Capita",$A$3,"Country","Italy")</f>
        <v>36275.159420289856</v>
      </c>
      <c r="C19" s="8">
        <f>GETPIVOTDATA("Sum of Population",$A$3,"Country","Italy")</f>
        <v>3973264681</v>
      </c>
    </row>
    <row r="20" spans="1:3" x14ac:dyDescent="0.3">
      <c r="A20" s="5" t="s">
        <v>26</v>
      </c>
      <c r="B20" s="10">
        <f>GETPIVOTDATA("Average of GDP_Per_Capita",$A$3,"Country","UK")</f>
        <v>35500.019230769234</v>
      </c>
      <c r="C20" s="8">
        <f>GETPIVOTDATA("Sum of Population",$A$3,"Country","UK")</f>
        <v>3772454740</v>
      </c>
    </row>
    <row r="21" spans="1:3" x14ac:dyDescent="0.3">
      <c r="A21" s="5" t="s">
        <v>29</v>
      </c>
      <c r="B21" s="10">
        <f>GETPIVOTDATA("Average of GDP_Per_Capita",$A$3,"Country","USA")</f>
        <v>39074.664233576645</v>
      </c>
      <c r="C21" s="8">
        <f>GETPIVOTDATA("Sum of Population",$A$3,"Country","USA")</f>
        <v>3649535615</v>
      </c>
    </row>
    <row r="22" spans="1:3" x14ac:dyDescent="0.3">
      <c r="A22" s="11"/>
      <c r="B22" s="10"/>
      <c r="C22" s="8"/>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BCE8-3CC2-453F-B669-51866D25834F}">
  <dimension ref="A1:AQ951"/>
  <sheetViews>
    <sheetView tabSelected="1" workbookViewId="0">
      <selection activeCell="Q45" sqref="Q45"/>
    </sheetView>
  </sheetViews>
  <sheetFormatPr defaultRowHeight="14.4" x14ac:dyDescent="0.3"/>
  <sheetData>
    <row r="1" spans="1:43" x14ac:dyDescent="0.3">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row>
    <row r="2" spans="1:43"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row>
    <row r="3" spans="1:43"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row>
    <row r="4" spans="1:43"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row>
    <row r="5" spans="1:43"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row>
    <row r="6" spans="1:43"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row>
    <row r="7" spans="1:43" x14ac:dyDescent="0.3">
      <c r="A7" s="13"/>
      <c r="B7" s="13"/>
      <c r="C7" s="13"/>
      <c r="D7" s="13"/>
      <c r="E7" s="13"/>
      <c r="F7" s="13"/>
      <c r="G7" s="13"/>
      <c r="H7" s="13"/>
      <c r="I7" s="13"/>
      <c r="J7" s="14"/>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row>
    <row r="8" spans="1:43"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row>
    <row r="9" spans="1:43"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row>
    <row r="10" spans="1:43"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row>
    <row r="11" spans="1:43"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row>
    <row r="12" spans="1:43"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row>
    <row r="13" spans="1:43"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row>
    <row r="14" spans="1:43"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row>
    <row r="15" spans="1:43"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row>
    <row r="16" spans="1:43"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row>
    <row r="17" spans="1:43"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row>
    <row r="18" spans="1:43"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row>
    <row r="19" spans="1:43"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row>
    <row r="20" spans="1:43"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row>
    <row r="21" spans="1:43"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row>
    <row r="22" spans="1:43"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row>
    <row r="23" spans="1:43"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row>
    <row r="24" spans="1:43"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row>
    <row r="25" spans="1:43"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row>
    <row r="26" spans="1:43"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row>
    <row r="27" spans="1:43"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row>
    <row r="28" spans="1:43"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row>
    <row r="29" spans="1:43"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row>
    <row r="30" spans="1:43"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row>
    <row r="31" spans="1:43"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row>
    <row r="32" spans="1:43"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row>
    <row r="33" spans="1:43"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row>
    <row r="34" spans="1:43"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row>
    <row r="35" spans="1:43"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row>
    <row r="36" spans="1:43"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row>
    <row r="37" spans="1:43"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row>
    <row r="38" spans="1:43"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row>
    <row r="39" spans="1:43"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row>
    <row r="40" spans="1:43"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row>
    <row r="41" spans="1:43"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row>
    <row r="42" spans="1:43"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row>
    <row r="43" spans="1:43"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row>
    <row r="44" spans="1:43"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row>
    <row r="45" spans="1:43"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row>
    <row r="46" spans="1:43"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row>
    <row r="47" spans="1:43"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row>
    <row r="48" spans="1:43"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row>
    <row r="49" spans="1:43"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row>
    <row r="50" spans="1:43"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row>
    <row r="51" spans="1:43"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row>
    <row r="52" spans="1:43"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row>
    <row r="53" spans="1:43"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row>
    <row r="54" spans="1:43"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row>
    <row r="55" spans="1:43"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row>
    <row r="56" spans="1:43"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row>
    <row r="57" spans="1:43"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row>
    <row r="58" spans="1:43"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row>
    <row r="59" spans="1:43"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row>
    <row r="60" spans="1:43"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row>
    <row r="61" spans="1:43"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row>
    <row r="62" spans="1:43"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row>
    <row r="63" spans="1:43"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row>
    <row r="64" spans="1:43"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row>
    <row r="65" spans="1:43"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row>
    <row r="66" spans="1:43"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row>
    <row r="67" spans="1:43"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row>
    <row r="68" spans="1:43"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row>
    <row r="69" spans="1:43"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row>
    <row r="70" spans="1:43"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row>
    <row r="71" spans="1:43"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row>
    <row r="72" spans="1:43"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row>
    <row r="73" spans="1:43"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row>
    <row r="74" spans="1:43"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row>
    <row r="75" spans="1:43"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row>
    <row r="76" spans="1:43"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row>
    <row r="77" spans="1:43"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row>
    <row r="78" spans="1:43"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row>
    <row r="79" spans="1:43"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row>
    <row r="80" spans="1:43"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row>
    <row r="81" spans="1:43"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row>
    <row r="82" spans="1:43"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row>
    <row r="83" spans="1:43"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row>
    <row r="84" spans="1:43"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row>
    <row r="85" spans="1:43"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row>
    <row r="86" spans="1:43"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row>
    <row r="87" spans="1:43"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row>
    <row r="88" spans="1:43"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row>
    <row r="89" spans="1:43"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row>
    <row r="90" spans="1:43"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row>
    <row r="91" spans="1:43"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row>
    <row r="92" spans="1:43"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row>
    <row r="93" spans="1:43"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row>
    <row r="94" spans="1:43"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row>
    <row r="95" spans="1:43"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row>
    <row r="96" spans="1:43"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row>
    <row r="97" spans="1:43"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row>
    <row r="98" spans="1:43"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row>
    <row r="99" spans="1:43"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row>
    <row r="100" spans="1:43"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row>
    <row r="101" spans="1:43"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row>
    <row r="102" spans="1:43"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row>
    <row r="103" spans="1:43"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row>
    <row r="104" spans="1:43"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row>
    <row r="105" spans="1:43"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row>
    <row r="106" spans="1:43"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row>
    <row r="107" spans="1:43"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row>
    <row r="108" spans="1:43"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row>
    <row r="109" spans="1:43"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row>
    <row r="110" spans="1:43"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row>
    <row r="111" spans="1:43"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row>
    <row r="112" spans="1:43"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row>
    <row r="113" spans="1:43"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row>
    <row r="114" spans="1:43"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row>
    <row r="115" spans="1:43"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row>
    <row r="116" spans="1:43"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row>
    <row r="117" spans="1:43"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row>
    <row r="118" spans="1:43"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row>
    <row r="119" spans="1:43"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row>
    <row r="120" spans="1:43"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row>
    <row r="121" spans="1:43"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row>
    <row r="122" spans="1:43"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row>
    <row r="123" spans="1:43"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row>
    <row r="124" spans="1:43"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row>
    <row r="125" spans="1:43"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row>
    <row r="126" spans="1:43"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row>
    <row r="127" spans="1:43"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row>
    <row r="128" spans="1:43"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row>
    <row r="129" spans="1:43"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row>
    <row r="130" spans="1:43"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row>
    <row r="131" spans="1:43"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row>
    <row r="132" spans="1:43"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row>
    <row r="133" spans="1:43"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row>
    <row r="134" spans="1:43"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row>
    <row r="135" spans="1:43"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row>
    <row r="136" spans="1:43"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row>
    <row r="137" spans="1:43"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row>
    <row r="138" spans="1:43"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row>
    <row r="139" spans="1:43"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row>
    <row r="140" spans="1:43"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row>
    <row r="141" spans="1:43"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row>
    <row r="142" spans="1:43"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row>
    <row r="143" spans="1:43"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row>
    <row r="144" spans="1:43"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row>
    <row r="145" spans="1:43"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row>
    <row r="146" spans="1:43"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row>
    <row r="147" spans="1:43"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row>
    <row r="148" spans="1:43"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row>
    <row r="149" spans="1:43"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row>
    <row r="150" spans="1:43"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row>
    <row r="151" spans="1:43"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row>
    <row r="152" spans="1:43"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row>
    <row r="153" spans="1:43"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row>
    <row r="154" spans="1:43"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row>
    <row r="155" spans="1:43"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row>
    <row r="156" spans="1:43"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row>
    <row r="157" spans="1:43"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row>
    <row r="158" spans="1:43"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row>
    <row r="159" spans="1:43"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row>
    <row r="160" spans="1:43"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row>
    <row r="161" spans="1:43"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row>
    <row r="162" spans="1:43"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row>
    <row r="163" spans="1:43"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row>
    <row r="164" spans="1:43"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row>
    <row r="165" spans="1:43"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row>
    <row r="166" spans="1:43"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row>
    <row r="167" spans="1:43"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row>
    <row r="168" spans="1:43"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row>
    <row r="169" spans="1:43"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row>
    <row r="170" spans="1:43"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row>
    <row r="171" spans="1:43"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row>
    <row r="172" spans="1:43"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row>
    <row r="173" spans="1:43"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row>
    <row r="174" spans="1:43"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row>
    <row r="175" spans="1:43"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row>
    <row r="176" spans="1:43"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row>
    <row r="177" spans="1:43"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row>
    <row r="178" spans="1:43"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row>
    <row r="179" spans="1:43"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row>
    <row r="180" spans="1:43"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row>
    <row r="181" spans="1:43"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row>
    <row r="182" spans="1:43"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row>
    <row r="183" spans="1:43"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row>
    <row r="184" spans="1:43"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row>
    <row r="185" spans="1:43"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row>
    <row r="186" spans="1:43"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row>
    <row r="187" spans="1:43"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row>
    <row r="188" spans="1:43"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row>
    <row r="189" spans="1:43"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row>
    <row r="190" spans="1:43"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row>
    <row r="191" spans="1:43"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row>
    <row r="192" spans="1:43"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row>
    <row r="193" spans="1:43"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row>
    <row r="194" spans="1:43"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row>
    <row r="195" spans="1:43"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row>
    <row r="196" spans="1:43"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row>
    <row r="197" spans="1:43"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row>
    <row r="198" spans="1:43"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row>
    <row r="199" spans="1:43"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row>
    <row r="200" spans="1:43"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row>
    <row r="201" spans="1:43"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row>
    <row r="202" spans="1:43"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row>
    <row r="203" spans="1:43"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row>
    <row r="204" spans="1:43"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row>
    <row r="205" spans="1:43"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row>
    <row r="206" spans="1:43"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row>
    <row r="207" spans="1:43"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row>
    <row r="208" spans="1:43"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row>
    <row r="209" spans="1:43"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row>
    <row r="210" spans="1:43"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row>
    <row r="211" spans="1:43"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row>
    <row r="212" spans="1:43"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row>
    <row r="213" spans="1:43"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row>
    <row r="214" spans="1:43"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row>
    <row r="215" spans="1:43"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row>
    <row r="216" spans="1:43"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row>
    <row r="217" spans="1:43"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row>
    <row r="218" spans="1:43"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row>
    <row r="219" spans="1:43"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row>
    <row r="220" spans="1:43"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row>
    <row r="221" spans="1:43"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row>
    <row r="222" spans="1:43"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row>
    <row r="223" spans="1:43"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row>
    <row r="224" spans="1:43"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row>
    <row r="225" spans="1:43"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row>
    <row r="226" spans="1:43"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row>
    <row r="227" spans="1:43"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row>
    <row r="228" spans="1:43"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row>
    <row r="229" spans="1:43"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row>
    <row r="230" spans="1:43"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row>
    <row r="231" spans="1:43"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row>
    <row r="232" spans="1:43"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row>
    <row r="233" spans="1:43"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row>
    <row r="234" spans="1:43"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row>
    <row r="235" spans="1:43"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row>
    <row r="236" spans="1:43"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row>
    <row r="237" spans="1:43"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row>
    <row r="238" spans="1:43"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row>
    <row r="239" spans="1:43"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row>
    <row r="240" spans="1:43"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row>
    <row r="241" spans="1:43"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row>
    <row r="242" spans="1:43"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row>
    <row r="243" spans="1:43"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row>
    <row r="244" spans="1:43"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row>
    <row r="245" spans="1:43"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row>
    <row r="246" spans="1:43"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row>
    <row r="247" spans="1:43"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row>
    <row r="248" spans="1:43"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row>
    <row r="249" spans="1:43"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row>
    <row r="250" spans="1:43"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row>
    <row r="251" spans="1:43"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row>
    <row r="252" spans="1:43"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row>
    <row r="253" spans="1:43"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row>
    <row r="254" spans="1:43"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row>
    <row r="255" spans="1:43"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row>
    <row r="256" spans="1:43"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row>
    <row r="257" spans="1:43"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row>
    <row r="258" spans="1:43"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row>
    <row r="259" spans="1:43"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row>
    <row r="260" spans="1:43"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row>
    <row r="261" spans="1:43"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row>
    <row r="262" spans="1:43"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row>
    <row r="263" spans="1:43"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row>
    <row r="264" spans="1:43"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row>
    <row r="265" spans="1:43"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row>
    <row r="266" spans="1:43"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row>
    <row r="267" spans="1:43"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row>
    <row r="268" spans="1:43"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row>
    <row r="269" spans="1:43"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row>
    <row r="270" spans="1:43"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row>
    <row r="271" spans="1:43"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row>
    <row r="272" spans="1:43"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row>
    <row r="273" spans="1:43"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row>
    <row r="274" spans="1:43"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row>
    <row r="275" spans="1:43"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row>
    <row r="276" spans="1:43"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row>
    <row r="277" spans="1:43"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row>
    <row r="278" spans="1:43"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row>
    <row r="279" spans="1:43"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row>
    <row r="280" spans="1:43"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row>
    <row r="281" spans="1:43"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row>
    <row r="282" spans="1:43"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row>
    <row r="283" spans="1:43"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row>
    <row r="284" spans="1:43"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row>
    <row r="285" spans="1:43"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row>
    <row r="286" spans="1:43"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row>
    <row r="287" spans="1:43"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row>
    <row r="288" spans="1:43"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row>
    <row r="289" spans="1:43"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row>
    <row r="290" spans="1:43"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row>
    <row r="291" spans="1:43"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row>
    <row r="292" spans="1:43"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row>
    <row r="293" spans="1:43"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row>
    <row r="294" spans="1:43"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row>
    <row r="295" spans="1:43"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row>
    <row r="296" spans="1:43"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row>
    <row r="297" spans="1:43"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row>
    <row r="298" spans="1:43"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row>
    <row r="299" spans="1:43"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row>
    <row r="300" spans="1:43"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row>
    <row r="301" spans="1:43"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row>
    <row r="302" spans="1:43"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row>
    <row r="303" spans="1:43"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row>
    <row r="304" spans="1:43"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row>
    <row r="305" spans="1:43"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row>
    <row r="306" spans="1:43"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row>
    <row r="307" spans="1:43"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row>
    <row r="308" spans="1:43"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row>
    <row r="309" spans="1:43"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row>
    <row r="310" spans="1:43"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row>
    <row r="311" spans="1:43"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row>
    <row r="312" spans="1:43"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row>
    <row r="313" spans="1:43"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row>
    <row r="314" spans="1:43"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row>
    <row r="315" spans="1:43"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row>
    <row r="316" spans="1:43"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row>
    <row r="317" spans="1:43"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row>
    <row r="318" spans="1:43"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row>
    <row r="319" spans="1:43"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row>
    <row r="320" spans="1:43"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row>
    <row r="321" spans="1:43"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row>
    <row r="322" spans="1:43"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row>
    <row r="323" spans="1:43"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row>
    <row r="324" spans="1:43"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row>
    <row r="325" spans="1:43" x14ac:dyDescent="0.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row>
    <row r="326" spans="1:43" x14ac:dyDescent="0.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row>
    <row r="327" spans="1:43" x14ac:dyDescent="0.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row>
    <row r="328" spans="1:43" x14ac:dyDescent="0.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row>
    <row r="329" spans="1:43" x14ac:dyDescent="0.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row>
    <row r="330" spans="1:43" x14ac:dyDescent="0.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row>
    <row r="331" spans="1:43" x14ac:dyDescent="0.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row>
    <row r="332" spans="1:43" x14ac:dyDescent="0.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row>
    <row r="333" spans="1:43" x14ac:dyDescent="0.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row>
    <row r="334" spans="1:43" x14ac:dyDescent="0.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row>
    <row r="335" spans="1:43" x14ac:dyDescent="0.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row>
    <row r="336" spans="1:43" x14ac:dyDescent="0.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row>
    <row r="337" spans="1:43" x14ac:dyDescent="0.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row>
    <row r="338" spans="1:43" x14ac:dyDescent="0.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row>
    <row r="339" spans="1:43" x14ac:dyDescent="0.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row>
    <row r="340" spans="1:43" x14ac:dyDescent="0.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row>
    <row r="341" spans="1:43" x14ac:dyDescent="0.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row>
    <row r="342" spans="1:43" x14ac:dyDescent="0.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row>
    <row r="343" spans="1:43" x14ac:dyDescent="0.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row>
    <row r="344" spans="1:43" x14ac:dyDescent="0.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row>
    <row r="345" spans="1:43" x14ac:dyDescent="0.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row>
    <row r="346" spans="1:43" x14ac:dyDescent="0.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row>
    <row r="347" spans="1:43" x14ac:dyDescent="0.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row>
    <row r="348" spans="1:43" x14ac:dyDescent="0.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row>
    <row r="349" spans="1:43" x14ac:dyDescent="0.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row>
    <row r="350" spans="1:43" x14ac:dyDescent="0.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row>
    <row r="351" spans="1:43" x14ac:dyDescent="0.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row>
    <row r="352" spans="1:43" x14ac:dyDescent="0.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row>
    <row r="353" spans="1:43" x14ac:dyDescent="0.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row>
    <row r="354" spans="1:43" x14ac:dyDescent="0.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row>
    <row r="355" spans="1:43" x14ac:dyDescent="0.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row>
    <row r="356" spans="1:43" x14ac:dyDescent="0.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row>
    <row r="357" spans="1:43" x14ac:dyDescent="0.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row>
    <row r="358" spans="1:43" x14ac:dyDescent="0.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row>
    <row r="359" spans="1:43" x14ac:dyDescent="0.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row>
    <row r="360" spans="1:43" x14ac:dyDescent="0.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row>
    <row r="361" spans="1:43" x14ac:dyDescent="0.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row>
    <row r="362" spans="1:43" x14ac:dyDescent="0.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row>
    <row r="363" spans="1:43" x14ac:dyDescent="0.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row>
    <row r="364" spans="1:43" x14ac:dyDescent="0.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row>
    <row r="365" spans="1:43" x14ac:dyDescent="0.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row>
    <row r="366" spans="1:43" x14ac:dyDescent="0.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row>
    <row r="367" spans="1:43" x14ac:dyDescent="0.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row>
    <row r="368" spans="1:43" x14ac:dyDescent="0.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row>
    <row r="369" spans="1:43" x14ac:dyDescent="0.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row>
    <row r="370" spans="1:43" x14ac:dyDescent="0.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row>
    <row r="371" spans="1:43" x14ac:dyDescent="0.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row>
    <row r="372" spans="1:43" x14ac:dyDescent="0.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row>
    <row r="373" spans="1:43" x14ac:dyDescent="0.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row>
    <row r="374" spans="1:43" x14ac:dyDescent="0.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row>
    <row r="375" spans="1:43" x14ac:dyDescent="0.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row>
    <row r="376" spans="1:43" x14ac:dyDescent="0.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row>
    <row r="377" spans="1:43" x14ac:dyDescent="0.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row>
    <row r="378" spans="1:43" x14ac:dyDescent="0.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row>
    <row r="379" spans="1:43" x14ac:dyDescent="0.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row>
    <row r="380" spans="1:43" x14ac:dyDescent="0.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row>
    <row r="381" spans="1:43" x14ac:dyDescent="0.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row>
    <row r="382" spans="1:43" x14ac:dyDescent="0.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row>
    <row r="383" spans="1:43" x14ac:dyDescent="0.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row>
    <row r="384" spans="1:43" x14ac:dyDescent="0.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row>
    <row r="385" spans="1:43" x14ac:dyDescent="0.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row>
    <row r="386" spans="1:43" x14ac:dyDescent="0.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row>
    <row r="387" spans="1:43" x14ac:dyDescent="0.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row>
    <row r="388" spans="1:43" x14ac:dyDescent="0.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row>
    <row r="389" spans="1:43" x14ac:dyDescent="0.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row>
    <row r="390" spans="1:43" x14ac:dyDescent="0.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row>
    <row r="391" spans="1:43" x14ac:dyDescent="0.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row>
    <row r="392" spans="1:43" x14ac:dyDescent="0.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row>
    <row r="393" spans="1:43" x14ac:dyDescent="0.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row>
    <row r="394" spans="1:43" x14ac:dyDescent="0.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row>
    <row r="395" spans="1:43" x14ac:dyDescent="0.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row>
    <row r="396" spans="1:43" x14ac:dyDescent="0.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row>
    <row r="397" spans="1:43" x14ac:dyDescent="0.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row>
    <row r="398" spans="1:43" x14ac:dyDescent="0.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row>
    <row r="399" spans="1:43" x14ac:dyDescent="0.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row>
    <row r="400" spans="1:43" x14ac:dyDescent="0.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row>
    <row r="401" spans="1:43" x14ac:dyDescent="0.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row>
    <row r="402" spans="1:43" x14ac:dyDescent="0.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row>
    <row r="403" spans="1:43" x14ac:dyDescent="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row>
    <row r="404" spans="1:43" x14ac:dyDescent="0.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row>
    <row r="405" spans="1:43" x14ac:dyDescent="0.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row>
    <row r="406" spans="1:43" x14ac:dyDescent="0.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row>
    <row r="407" spans="1:43" x14ac:dyDescent="0.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row>
    <row r="408" spans="1:43" x14ac:dyDescent="0.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row>
    <row r="409" spans="1:43" x14ac:dyDescent="0.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row>
    <row r="410" spans="1:43" x14ac:dyDescent="0.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row>
    <row r="411" spans="1:43" x14ac:dyDescent="0.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row>
    <row r="412" spans="1:43" x14ac:dyDescent="0.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row>
    <row r="413" spans="1:43" x14ac:dyDescent="0.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row>
    <row r="414" spans="1:43" x14ac:dyDescent="0.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row>
    <row r="415" spans="1:43" x14ac:dyDescent="0.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row>
    <row r="416" spans="1:43" x14ac:dyDescent="0.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row>
    <row r="417" spans="1:43" x14ac:dyDescent="0.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row>
    <row r="418" spans="1:43" x14ac:dyDescent="0.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row>
    <row r="419" spans="1:43" x14ac:dyDescent="0.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row>
    <row r="420" spans="1:43" x14ac:dyDescent="0.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row>
    <row r="421" spans="1:43" x14ac:dyDescent="0.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row>
    <row r="422" spans="1:43" x14ac:dyDescent="0.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row>
    <row r="423" spans="1:43" x14ac:dyDescent="0.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row>
    <row r="424" spans="1:43" x14ac:dyDescent="0.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row>
    <row r="425" spans="1:43" x14ac:dyDescent="0.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row>
    <row r="426" spans="1:43" x14ac:dyDescent="0.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row>
    <row r="427" spans="1:43" x14ac:dyDescent="0.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row>
    <row r="428" spans="1:43" x14ac:dyDescent="0.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row>
    <row r="429" spans="1:43" x14ac:dyDescent="0.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row>
    <row r="430" spans="1:43" x14ac:dyDescent="0.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row>
    <row r="431" spans="1:43" x14ac:dyDescent="0.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row>
    <row r="432" spans="1:43" x14ac:dyDescent="0.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row>
    <row r="433" spans="1:43" x14ac:dyDescent="0.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row>
    <row r="434" spans="1:43" x14ac:dyDescent="0.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row>
    <row r="435" spans="1:43" x14ac:dyDescent="0.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row>
    <row r="436" spans="1:43" x14ac:dyDescent="0.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row>
    <row r="437" spans="1:43" x14ac:dyDescent="0.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row>
    <row r="438" spans="1:43" x14ac:dyDescent="0.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row>
    <row r="439" spans="1:43" x14ac:dyDescent="0.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row>
    <row r="440" spans="1:43" x14ac:dyDescent="0.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row>
    <row r="441" spans="1:43" x14ac:dyDescent="0.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row>
    <row r="442" spans="1:43" x14ac:dyDescent="0.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row>
    <row r="443" spans="1:43" x14ac:dyDescent="0.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row>
    <row r="444" spans="1:43" x14ac:dyDescent="0.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row>
    <row r="445" spans="1:43" x14ac:dyDescent="0.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row>
    <row r="446" spans="1:43" x14ac:dyDescent="0.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row>
    <row r="447" spans="1:43" x14ac:dyDescent="0.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row>
    <row r="448" spans="1:43" x14ac:dyDescent="0.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row>
    <row r="449" spans="1:43" x14ac:dyDescent="0.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row>
    <row r="450" spans="1:43" x14ac:dyDescent="0.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row>
    <row r="451" spans="1:43" x14ac:dyDescent="0.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row>
    <row r="452" spans="1:43" x14ac:dyDescent="0.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row>
    <row r="453" spans="1:43" x14ac:dyDescent="0.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row>
    <row r="454" spans="1:43" x14ac:dyDescent="0.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row>
    <row r="455" spans="1:43" x14ac:dyDescent="0.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row>
    <row r="456" spans="1:43" x14ac:dyDescent="0.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row>
    <row r="457" spans="1:43" x14ac:dyDescent="0.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row>
    <row r="458" spans="1:43" x14ac:dyDescent="0.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row>
    <row r="459" spans="1:43" x14ac:dyDescent="0.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row>
    <row r="460" spans="1:43" x14ac:dyDescent="0.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row>
    <row r="461" spans="1:43" x14ac:dyDescent="0.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row>
    <row r="462" spans="1:43" x14ac:dyDescent="0.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row>
    <row r="463" spans="1:43" x14ac:dyDescent="0.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row>
    <row r="464" spans="1:43" x14ac:dyDescent="0.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row>
    <row r="465" spans="1:43" x14ac:dyDescent="0.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row>
    <row r="466" spans="1:43" x14ac:dyDescent="0.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row>
    <row r="467" spans="1:43" x14ac:dyDescent="0.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row>
    <row r="468" spans="1:43" x14ac:dyDescent="0.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row>
    <row r="469" spans="1:43" x14ac:dyDescent="0.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row>
    <row r="470" spans="1:43" x14ac:dyDescent="0.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row>
    <row r="471" spans="1:43" x14ac:dyDescent="0.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row>
    <row r="472" spans="1:43" x14ac:dyDescent="0.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row>
    <row r="473" spans="1:43" x14ac:dyDescent="0.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row>
    <row r="474" spans="1:43" x14ac:dyDescent="0.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row>
    <row r="475" spans="1:43" x14ac:dyDescent="0.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row>
    <row r="476" spans="1:43" x14ac:dyDescent="0.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row>
    <row r="477" spans="1:43" x14ac:dyDescent="0.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row>
    <row r="478" spans="1:43" x14ac:dyDescent="0.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row>
    <row r="479" spans="1:43" x14ac:dyDescent="0.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row>
    <row r="480" spans="1:43" x14ac:dyDescent="0.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row>
    <row r="481" spans="1:43" x14ac:dyDescent="0.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row>
    <row r="482" spans="1:43" x14ac:dyDescent="0.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row>
    <row r="483" spans="1:43" x14ac:dyDescent="0.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row>
    <row r="484" spans="1:43" x14ac:dyDescent="0.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row>
    <row r="485" spans="1:43" x14ac:dyDescent="0.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row>
    <row r="486" spans="1:43" x14ac:dyDescent="0.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row>
    <row r="487" spans="1:43" x14ac:dyDescent="0.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row>
    <row r="488" spans="1:43" x14ac:dyDescent="0.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row>
    <row r="489" spans="1:43" x14ac:dyDescent="0.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row>
    <row r="490" spans="1:43" x14ac:dyDescent="0.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row>
    <row r="491" spans="1:43" x14ac:dyDescent="0.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row>
    <row r="492" spans="1:43" x14ac:dyDescent="0.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row>
    <row r="493" spans="1:43" x14ac:dyDescent="0.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row>
    <row r="494" spans="1:43" x14ac:dyDescent="0.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row>
    <row r="495" spans="1:43" x14ac:dyDescent="0.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row>
    <row r="496" spans="1:43" x14ac:dyDescent="0.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row>
    <row r="497" spans="1:43" x14ac:dyDescent="0.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row>
    <row r="498" spans="1:43" x14ac:dyDescent="0.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row>
    <row r="499" spans="1:43" x14ac:dyDescent="0.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row>
    <row r="500" spans="1:43" x14ac:dyDescent="0.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row>
    <row r="501" spans="1:43" x14ac:dyDescent="0.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row>
    <row r="502" spans="1:43" x14ac:dyDescent="0.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row>
    <row r="503" spans="1:43" x14ac:dyDescent="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row>
    <row r="504" spans="1:43" x14ac:dyDescent="0.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row>
    <row r="505" spans="1:43" x14ac:dyDescent="0.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row>
    <row r="506" spans="1:43" x14ac:dyDescent="0.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row>
    <row r="507" spans="1:43" x14ac:dyDescent="0.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row>
    <row r="508" spans="1:43" x14ac:dyDescent="0.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row>
    <row r="509" spans="1:43" x14ac:dyDescent="0.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row>
    <row r="510" spans="1:43" x14ac:dyDescent="0.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row>
    <row r="511" spans="1:43" x14ac:dyDescent="0.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row>
    <row r="512" spans="1:43" x14ac:dyDescent="0.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row>
    <row r="513" spans="1:43" x14ac:dyDescent="0.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row>
    <row r="514" spans="1:43" x14ac:dyDescent="0.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row>
    <row r="515" spans="1:43" x14ac:dyDescent="0.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row>
    <row r="516" spans="1:43" x14ac:dyDescent="0.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row>
    <row r="517" spans="1:43" x14ac:dyDescent="0.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row>
    <row r="518" spans="1:43" x14ac:dyDescent="0.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row>
    <row r="519" spans="1:43" x14ac:dyDescent="0.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row>
    <row r="520" spans="1:43" x14ac:dyDescent="0.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row>
    <row r="521" spans="1:43" x14ac:dyDescent="0.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row>
    <row r="522" spans="1:43" x14ac:dyDescent="0.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row>
    <row r="523" spans="1:43" x14ac:dyDescent="0.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row>
    <row r="524" spans="1:43" x14ac:dyDescent="0.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row>
    <row r="525" spans="1:43" x14ac:dyDescent="0.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row>
    <row r="526" spans="1:43" x14ac:dyDescent="0.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row>
    <row r="527" spans="1:43" x14ac:dyDescent="0.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row>
    <row r="528" spans="1:43" x14ac:dyDescent="0.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row>
    <row r="529" spans="1:43" x14ac:dyDescent="0.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row>
    <row r="530" spans="1:43" x14ac:dyDescent="0.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row>
    <row r="531" spans="1:43" x14ac:dyDescent="0.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row>
    <row r="532" spans="1:43" x14ac:dyDescent="0.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row>
    <row r="533" spans="1:43" x14ac:dyDescent="0.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row>
    <row r="534" spans="1:43" x14ac:dyDescent="0.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row>
    <row r="535" spans="1:43" x14ac:dyDescent="0.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row>
    <row r="536" spans="1:43" x14ac:dyDescent="0.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row>
    <row r="537" spans="1:43" x14ac:dyDescent="0.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row>
    <row r="538" spans="1:43" x14ac:dyDescent="0.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row>
    <row r="539" spans="1:43" x14ac:dyDescent="0.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row>
    <row r="540" spans="1:43" x14ac:dyDescent="0.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row>
    <row r="541" spans="1:43" x14ac:dyDescent="0.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row>
    <row r="542" spans="1:43" x14ac:dyDescent="0.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row>
    <row r="543" spans="1:43" x14ac:dyDescent="0.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row>
    <row r="544" spans="1:43" x14ac:dyDescent="0.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row>
    <row r="545" spans="1:43" x14ac:dyDescent="0.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row>
    <row r="546" spans="1:43" x14ac:dyDescent="0.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row>
    <row r="547" spans="1:43" x14ac:dyDescent="0.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row>
    <row r="548" spans="1:43" x14ac:dyDescent="0.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row>
    <row r="549" spans="1:43" x14ac:dyDescent="0.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row>
    <row r="550" spans="1:43" x14ac:dyDescent="0.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row>
    <row r="551" spans="1:43" x14ac:dyDescent="0.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row>
    <row r="552" spans="1:43" x14ac:dyDescent="0.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row>
    <row r="553" spans="1:43" x14ac:dyDescent="0.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row>
    <row r="554" spans="1:43" x14ac:dyDescent="0.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row>
    <row r="555" spans="1:43" x14ac:dyDescent="0.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row>
    <row r="556" spans="1:43" x14ac:dyDescent="0.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row>
    <row r="557" spans="1:43" x14ac:dyDescent="0.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row>
    <row r="558" spans="1:43" x14ac:dyDescent="0.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row>
    <row r="559" spans="1:43" x14ac:dyDescent="0.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row>
    <row r="560" spans="1:43" x14ac:dyDescent="0.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row>
    <row r="561" spans="1:43" x14ac:dyDescent="0.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row>
    <row r="562" spans="1:43" x14ac:dyDescent="0.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row>
    <row r="563" spans="1:43" x14ac:dyDescent="0.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row>
    <row r="564" spans="1:43" x14ac:dyDescent="0.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row>
    <row r="565" spans="1:43" x14ac:dyDescent="0.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row>
    <row r="566" spans="1:43" x14ac:dyDescent="0.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row>
    <row r="567" spans="1:43" x14ac:dyDescent="0.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row>
    <row r="568" spans="1:43" x14ac:dyDescent="0.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row>
    <row r="569" spans="1:43" x14ac:dyDescent="0.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row>
    <row r="570" spans="1:43" x14ac:dyDescent="0.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row>
    <row r="571" spans="1:43" x14ac:dyDescent="0.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row>
    <row r="572" spans="1:43" x14ac:dyDescent="0.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row>
    <row r="573" spans="1:43" x14ac:dyDescent="0.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row>
    <row r="574" spans="1:43" x14ac:dyDescent="0.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row>
    <row r="575" spans="1:43" x14ac:dyDescent="0.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row>
    <row r="576" spans="1:43" x14ac:dyDescent="0.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row>
    <row r="577" spans="1:43" x14ac:dyDescent="0.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row>
    <row r="578" spans="1:43" x14ac:dyDescent="0.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row>
    <row r="579" spans="1:43" x14ac:dyDescent="0.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row>
    <row r="580" spans="1:43" x14ac:dyDescent="0.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row>
    <row r="581" spans="1:43" x14ac:dyDescent="0.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row>
    <row r="582" spans="1:43" x14ac:dyDescent="0.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row>
    <row r="583" spans="1:43" x14ac:dyDescent="0.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row>
    <row r="584" spans="1:43" x14ac:dyDescent="0.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row>
    <row r="585" spans="1:43" x14ac:dyDescent="0.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row>
    <row r="586" spans="1:43" x14ac:dyDescent="0.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row>
    <row r="587" spans="1:43" x14ac:dyDescent="0.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row>
    <row r="588" spans="1:43" x14ac:dyDescent="0.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row>
    <row r="589" spans="1:43" x14ac:dyDescent="0.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row>
    <row r="590" spans="1:43" x14ac:dyDescent="0.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row>
    <row r="591" spans="1:43" x14ac:dyDescent="0.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row>
    <row r="592" spans="1:43" x14ac:dyDescent="0.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row>
    <row r="593" spans="1:43" x14ac:dyDescent="0.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row>
    <row r="594" spans="1:43" x14ac:dyDescent="0.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row>
    <row r="595" spans="1:43" x14ac:dyDescent="0.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row>
    <row r="596" spans="1:43" x14ac:dyDescent="0.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row>
    <row r="597" spans="1:43" x14ac:dyDescent="0.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row>
    <row r="598" spans="1:43" x14ac:dyDescent="0.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row>
    <row r="599" spans="1:43" x14ac:dyDescent="0.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row>
    <row r="600" spans="1:43" x14ac:dyDescent="0.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row>
    <row r="601" spans="1:43" x14ac:dyDescent="0.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row>
    <row r="602" spans="1:43" x14ac:dyDescent="0.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row>
    <row r="603" spans="1:43" x14ac:dyDescent="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row>
    <row r="604" spans="1:43" x14ac:dyDescent="0.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row>
    <row r="605" spans="1:43" x14ac:dyDescent="0.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row>
    <row r="606" spans="1:43" x14ac:dyDescent="0.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row>
    <row r="607" spans="1:43" x14ac:dyDescent="0.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row>
    <row r="608" spans="1:43" x14ac:dyDescent="0.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row>
    <row r="609" spans="1:43" x14ac:dyDescent="0.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row>
    <row r="610" spans="1:43" x14ac:dyDescent="0.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row>
    <row r="611" spans="1:43" x14ac:dyDescent="0.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row>
    <row r="612" spans="1:43" x14ac:dyDescent="0.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row>
    <row r="613" spans="1:43" x14ac:dyDescent="0.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row>
    <row r="614" spans="1:43" x14ac:dyDescent="0.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row>
    <row r="615" spans="1:43" x14ac:dyDescent="0.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row>
    <row r="616" spans="1:43" x14ac:dyDescent="0.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row>
    <row r="617" spans="1:43" x14ac:dyDescent="0.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row>
    <row r="618" spans="1:43" x14ac:dyDescent="0.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row>
    <row r="619" spans="1:43" x14ac:dyDescent="0.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row>
    <row r="620" spans="1:43" x14ac:dyDescent="0.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row>
    <row r="621" spans="1:43" x14ac:dyDescent="0.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row>
    <row r="622" spans="1:43" x14ac:dyDescent="0.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row>
    <row r="623" spans="1:43" x14ac:dyDescent="0.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row>
    <row r="624" spans="1:43" x14ac:dyDescent="0.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row>
    <row r="625" spans="1:43" x14ac:dyDescent="0.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row>
    <row r="626" spans="1:43" x14ac:dyDescent="0.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row>
    <row r="627" spans="1:43" x14ac:dyDescent="0.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row>
    <row r="628" spans="1:43" x14ac:dyDescent="0.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row>
    <row r="629" spans="1:43" x14ac:dyDescent="0.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row>
    <row r="630" spans="1:43" x14ac:dyDescent="0.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row>
    <row r="631" spans="1:43" x14ac:dyDescent="0.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row>
    <row r="632" spans="1:43" x14ac:dyDescent="0.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row>
    <row r="633" spans="1:43" x14ac:dyDescent="0.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row>
    <row r="634" spans="1:43" x14ac:dyDescent="0.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row>
    <row r="635" spans="1:43" x14ac:dyDescent="0.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row>
    <row r="636" spans="1:43" x14ac:dyDescent="0.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row>
    <row r="637" spans="1:43" x14ac:dyDescent="0.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row>
    <row r="638" spans="1:43" x14ac:dyDescent="0.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row>
    <row r="639" spans="1:43" x14ac:dyDescent="0.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row>
    <row r="640" spans="1:43" x14ac:dyDescent="0.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row>
    <row r="641" spans="1:43" x14ac:dyDescent="0.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row>
    <row r="642" spans="1:43" x14ac:dyDescent="0.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row>
    <row r="643" spans="1:43" x14ac:dyDescent="0.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row>
    <row r="644" spans="1:43" x14ac:dyDescent="0.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row>
    <row r="645" spans="1:43" x14ac:dyDescent="0.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row>
    <row r="646" spans="1:43" x14ac:dyDescent="0.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row>
    <row r="647" spans="1:43" x14ac:dyDescent="0.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row>
    <row r="648" spans="1:43" x14ac:dyDescent="0.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row>
    <row r="649" spans="1:43" x14ac:dyDescent="0.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row>
    <row r="650" spans="1:43" x14ac:dyDescent="0.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row>
    <row r="651" spans="1:43" x14ac:dyDescent="0.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row>
    <row r="652" spans="1:43" x14ac:dyDescent="0.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row>
    <row r="653" spans="1:43" x14ac:dyDescent="0.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row>
    <row r="654" spans="1:43" x14ac:dyDescent="0.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row>
    <row r="655" spans="1:43" x14ac:dyDescent="0.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row>
    <row r="656" spans="1:43" x14ac:dyDescent="0.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row>
    <row r="657" spans="1:43" x14ac:dyDescent="0.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row>
    <row r="658" spans="1:43" x14ac:dyDescent="0.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row>
    <row r="659" spans="1:43" x14ac:dyDescent="0.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row>
    <row r="660" spans="1:43" x14ac:dyDescent="0.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row>
    <row r="661" spans="1:43" x14ac:dyDescent="0.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row>
    <row r="662" spans="1:43" x14ac:dyDescent="0.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row>
    <row r="663" spans="1:43" x14ac:dyDescent="0.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row>
    <row r="664" spans="1:43" x14ac:dyDescent="0.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row>
    <row r="665" spans="1:43" x14ac:dyDescent="0.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row>
    <row r="666" spans="1:43" x14ac:dyDescent="0.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row>
    <row r="667" spans="1:43" x14ac:dyDescent="0.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row>
    <row r="668" spans="1:43" x14ac:dyDescent="0.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row>
    <row r="669" spans="1:43" x14ac:dyDescent="0.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row>
    <row r="670" spans="1:43" x14ac:dyDescent="0.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row>
    <row r="671" spans="1:43" x14ac:dyDescent="0.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row>
    <row r="672" spans="1:43" x14ac:dyDescent="0.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row>
    <row r="673" spans="1:43" x14ac:dyDescent="0.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row>
    <row r="674" spans="1:43" x14ac:dyDescent="0.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row>
    <row r="675" spans="1:43" x14ac:dyDescent="0.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row>
    <row r="676" spans="1:43" x14ac:dyDescent="0.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row>
    <row r="677" spans="1:43" x14ac:dyDescent="0.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row>
    <row r="678" spans="1:43" x14ac:dyDescent="0.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row>
    <row r="679" spans="1:43" x14ac:dyDescent="0.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row>
    <row r="680" spans="1:43" x14ac:dyDescent="0.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row>
    <row r="681" spans="1:43" x14ac:dyDescent="0.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row>
    <row r="682" spans="1:43" x14ac:dyDescent="0.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row>
    <row r="683" spans="1:43" x14ac:dyDescent="0.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row>
    <row r="684" spans="1:43" x14ac:dyDescent="0.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row>
    <row r="685" spans="1:43" x14ac:dyDescent="0.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row>
    <row r="686" spans="1:43" x14ac:dyDescent="0.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row>
    <row r="687" spans="1:43" x14ac:dyDescent="0.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row>
    <row r="688" spans="1:43" x14ac:dyDescent="0.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row>
    <row r="689" spans="1:43" x14ac:dyDescent="0.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row>
    <row r="690" spans="1:43" x14ac:dyDescent="0.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row>
    <row r="691" spans="1:43" x14ac:dyDescent="0.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row>
    <row r="692" spans="1:43" x14ac:dyDescent="0.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row>
    <row r="693" spans="1:43" x14ac:dyDescent="0.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row>
    <row r="694" spans="1:43" x14ac:dyDescent="0.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row>
    <row r="695" spans="1:43" x14ac:dyDescent="0.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row>
    <row r="696" spans="1:43" x14ac:dyDescent="0.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row>
    <row r="697" spans="1:43" x14ac:dyDescent="0.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row>
    <row r="698" spans="1:43" x14ac:dyDescent="0.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row>
    <row r="699" spans="1:43" x14ac:dyDescent="0.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row>
    <row r="700" spans="1:43" x14ac:dyDescent="0.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row>
    <row r="701" spans="1:43" x14ac:dyDescent="0.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row>
    <row r="702" spans="1:43" x14ac:dyDescent="0.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row>
    <row r="703" spans="1:43" x14ac:dyDescent="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row>
    <row r="704" spans="1:43" x14ac:dyDescent="0.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row>
    <row r="705" spans="1:43" x14ac:dyDescent="0.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row>
    <row r="706" spans="1:43" x14ac:dyDescent="0.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row>
    <row r="707" spans="1:43" x14ac:dyDescent="0.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row>
    <row r="708" spans="1:43" x14ac:dyDescent="0.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row>
    <row r="709" spans="1:43" x14ac:dyDescent="0.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row>
    <row r="710" spans="1:43" x14ac:dyDescent="0.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row>
    <row r="711" spans="1:43" x14ac:dyDescent="0.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row>
    <row r="712" spans="1:43" x14ac:dyDescent="0.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row>
    <row r="713" spans="1:43" x14ac:dyDescent="0.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row>
    <row r="714" spans="1:43" x14ac:dyDescent="0.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row>
    <row r="715" spans="1:43" x14ac:dyDescent="0.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row>
    <row r="716" spans="1:43" x14ac:dyDescent="0.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row>
    <row r="717" spans="1:43" x14ac:dyDescent="0.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row>
    <row r="718" spans="1:43" x14ac:dyDescent="0.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row>
    <row r="719" spans="1:43" x14ac:dyDescent="0.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row>
    <row r="720" spans="1:43" x14ac:dyDescent="0.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row>
    <row r="721" spans="1:43" x14ac:dyDescent="0.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row>
    <row r="722" spans="1:43" x14ac:dyDescent="0.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row>
    <row r="723" spans="1:43" x14ac:dyDescent="0.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row>
    <row r="724" spans="1:43" x14ac:dyDescent="0.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row>
    <row r="725" spans="1:43" x14ac:dyDescent="0.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row>
    <row r="726" spans="1:43" x14ac:dyDescent="0.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row>
    <row r="727" spans="1:43" x14ac:dyDescent="0.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row>
    <row r="728" spans="1:43" x14ac:dyDescent="0.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row>
    <row r="729" spans="1:43" x14ac:dyDescent="0.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row>
    <row r="730" spans="1:43" x14ac:dyDescent="0.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row>
    <row r="731" spans="1:43" x14ac:dyDescent="0.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row>
    <row r="732" spans="1:43" x14ac:dyDescent="0.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row>
    <row r="733" spans="1:43" x14ac:dyDescent="0.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row>
    <row r="734" spans="1:43" x14ac:dyDescent="0.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row>
    <row r="735" spans="1:43" x14ac:dyDescent="0.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row>
    <row r="736" spans="1:43" x14ac:dyDescent="0.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row>
    <row r="737" spans="1:43" x14ac:dyDescent="0.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row>
    <row r="738" spans="1:43" x14ac:dyDescent="0.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row>
    <row r="739" spans="1:43" x14ac:dyDescent="0.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row>
    <row r="740" spans="1:43" x14ac:dyDescent="0.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row>
    <row r="741" spans="1:43" x14ac:dyDescent="0.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row>
    <row r="742" spans="1:43" x14ac:dyDescent="0.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row>
    <row r="743" spans="1:43" x14ac:dyDescent="0.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row>
    <row r="744" spans="1:43" x14ac:dyDescent="0.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row>
    <row r="745" spans="1:43" x14ac:dyDescent="0.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row>
    <row r="746" spans="1:43" x14ac:dyDescent="0.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row>
    <row r="747" spans="1:43" x14ac:dyDescent="0.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row>
    <row r="748" spans="1:43" x14ac:dyDescent="0.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row>
    <row r="749" spans="1:43" x14ac:dyDescent="0.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row>
    <row r="750" spans="1:43" x14ac:dyDescent="0.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row>
    <row r="751" spans="1:43" x14ac:dyDescent="0.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row>
    <row r="752" spans="1:43" x14ac:dyDescent="0.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row>
    <row r="753" spans="1:43" x14ac:dyDescent="0.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row>
    <row r="754" spans="1:43" x14ac:dyDescent="0.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row>
    <row r="755" spans="1:43" x14ac:dyDescent="0.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row>
    <row r="756" spans="1:43" x14ac:dyDescent="0.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row>
    <row r="757" spans="1:43" x14ac:dyDescent="0.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row>
    <row r="758" spans="1:43" x14ac:dyDescent="0.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row>
    <row r="759" spans="1:43" x14ac:dyDescent="0.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row>
    <row r="760" spans="1:43" x14ac:dyDescent="0.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row>
    <row r="761" spans="1:43" x14ac:dyDescent="0.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row>
    <row r="762" spans="1:43" x14ac:dyDescent="0.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row>
    <row r="763" spans="1:43" x14ac:dyDescent="0.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row>
    <row r="764" spans="1:43" x14ac:dyDescent="0.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row>
    <row r="765" spans="1:43" x14ac:dyDescent="0.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row>
    <row r="766" spans="1:43" x14ac:dyDescent="0.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row>
    <row r="767" spans="1:43" x14ac:dyDescent="0.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row>
    <row r="768" spans="1:43" x14ac:dyDescent="0.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row>
    <row r="769" spans="1:43" x14ac:dyDescent="0.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row>
    <row r="770" spans="1:43" x14ac:dyDescent="0.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row>
    <row r="771" spans="1:43" x14ac:dyDescent="0.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row>
    <row r="772" spans="1:43" x14ac:dyDescent="0.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row>
    <row r="773" spans="1:43" x14ac:dyDescent="0.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row>
    <row r="774" spans="1:43" x14ac:dyDescent="0.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row>
    <row r="775" spans="1:43" x14ac:dyDescent="0.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row>
    <row r="776" spans="1:43" x14ac:dyDescent="0.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row>
    <row r="777" spans="1:43" x14ac:dyDescent="0.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row>
    <row r="778" spans="1:43" x14ac:dyDescent="0.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row>
    <row r="779" spans="1:43" x14ac:dyDescent="0.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row>
    <row r="780" spans="1:43" x14ac:dyDescent="0.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row>
    <row r="781" spans="1:43" x14ac:dyDescent="0.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row>
    <row r="782" spans="1:43" x14ac:dyDescent="0.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row>
    <row r="783" spans="1:43" x14ac:dyDescent="0.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row>
    <row r="784" spans="1:43" x14ac:dyDescent="0.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row>
    <row r="785" spans="1:43" x14ac:dyDescent="0.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row>
    <row r="786" spans="1:43" x14ac:dyDescent="0.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row>
    <row r="787" spans="1:43" x14ac:dyDescent="0.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row>
    <row r="788" spans="1:43" x14ac:dyDescent="0.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row>
    <row r="789" spans="1:43" x14ac:dyDescent="0.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row>
    <row r="790" spans="1:43" x14ac:dyDescent="0.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row>
    <row r="791" spans="1:43" x14ac:dyDescent="0.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row>
    <row r="792" spans="1:43" x14ac:dyDescent="0.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row>
    <row r="793" spans="1:43" x14ac:dyDescent="0.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row>
    <row r="794" spans="1:43" x14ac:dyDescent="0.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row>
    <row r="795" spans="1:43" x14ac:dyDescent="0.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row>
    <row r="796" spans="1:43" x14ac:dyDescent="0.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row>
    <row r="797" spans="1:43" x14ac:dyDescent="0.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row>
    <row r="798" spans="1:43" x14ac:dyDescent="0.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row>
    <row r="799" spans="1:43" x14ac:dyDescent="0.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row>
    <row r="800" spans="1:43" x14ac:dyDescent="0.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row>
    <row r="801" spans="1:43" x14ac:dyDescent="0.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row>
    <row r="802" spans="1:43" x14ac:dyDescent="0.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row>
    <row r="803" spans="1:43" x14ac:dyDescent="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row>
    <row r="804" spans="1:43" x14ac:dyDescent="0.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row>
    <row r="805" spans="1:43" x14ac:dyDescent="0.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row>
    <row r="806" spans="1:43" x14ac:dyDescent="0.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row>
    <row r="807" spans="1:43" x14ac:dyDescent="0.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row>
    <row r="808" spans="1:43" x14ac:dyDescent="0.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row>
    <row r="809" spans="1:43" x14ac:dyDescent="0.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row>
    <row r="810" spans="1:43" x14ac:dyDescent="0.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row>
    <row r="811" spans="1:43" x14ac:dyDescent="0.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row>
    <row r="812" spans="1:43" x14ac:dyDescent="0.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row>
    <row r="813" spans="1:43" x14ac:dyDescent="0.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row>
    <row r="814" spans="1:43" x14ac:dyDescent="0.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row>
    <row r="815" spans="1:43" x14ac:dyDescent="0.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row>
    <row r="816" spans="1:43" x14ac:dyDescent="0.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row>
    <row r="817" spans="1:43" x14ac:dyDescent="0.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row>
    <row r="818" spans="1:43" x14ac:dyDescent="0.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row>
    <row r="819" spans="1:43" x14ac:dyDescent="0.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row>
    <row r="820" spans="1:43" x14ac:dyDescent="0.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row>
    <row r="821" spans="1:43" x14ac:dyDescent="0.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row>
    <row r="822" spans="1:43" x14ac:dyDescent="0.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row>
    <row r="823" spans="1:43" x14ac:dyDescent="0.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row>
    <row r="824" spans="1:43" x14ac:dyDescent="0.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row>
    <row r="825" spans="1:43" x14ac:dyDescent="0.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row>
    <row r="826" spans="1:43" x14ac:dyDescent="0.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row>
    <row r="827" spans="1:43" x14ac:dyDescent="0.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row>
    <row r="828" spans="1:43" x14ac:dyDescent="0.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row>
    <row r="829" spans="1:43" x14ac:dyDescent="0.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row>
    <row r="830" spans="1:43" x14ac:dyDescent="0.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row>
    <row r="831" spans="1:43" x14ac:dyDescent="0.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row>
    <row r="832" spans="1:43" x14ac:dyDescent="0.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row>
    <row r="833" spans="1:43" x14ac:dyDescent="0.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row>
    <row r="834" spans="1:43" x14ac:dyDescent="0.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row>
    <row r="835" spans="1:43" x14ac:dyDescent="0.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row>
    <row r="836" spans="1:43" x14ac:dyDescent="0.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row>
    <row r="837" spans="1:43" x14ac:dyDescent="0.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row>
    <row r="838" spans="1:43" x14ac:dyDescent="0.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row>
    <row r="839" spans="1:43" x14ac:dyDescent="0.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row>
    <row r="840" spans="1:43" x14ac:dyDescent="0.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row>
    <row r="841" spans="1:43" x14ac:dyDescent="0.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row>
    <row r="842" spans="1:43" x14ac:dyDescent="0.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row>
    <row r="843" spans="1:43" x14ac:dyDescent="0.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row>
    <row r="844" spans="1:43" x14ac:dyDescent="0.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row>
    <row r="845" spans="1:43" x14ac:dyDescent="0.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row>
    <row r="846" spans="1:43" x14ac:dyDescent="0.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row>
    <row r="847" spans="1:43" x14ac:dyDescent="0.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row>
    <row r="848" spans="1:43" x14ac:dyDescent="0.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row>
    <row r="849" spans="1:43" x14ac:dyDescent="0.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row>
    <row r="850" spans="1:43" x14ac:dyDescent="0.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row>
    <row r="851" spans="1:43" x14ac:dyDescent="0.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row>
    <row r="852" spans="1:43" x14ac:dyDescent="0.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row>
    <row r="853" spans="1:43" x14ac:dyDescent="0.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row>
    <row r="854" spans="1:43" x14ac:dyDescent="0.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row>
    <row r="855" spans="1:43" x14ac:dyDescent="0.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row>
    <row r="856" spans="1:43" x14ac:dyDescent="0.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row>
    <row r="857" spans="1:43" x14ac:dyDescent="0.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row>
    <row r="858" spans="1:43" x14ac:dyDescent="0.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row>
    <row r="859" spans="1:43" x14ac:dyDescent="0.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row>
    <row r="860" spans="1:43" x14ac:dyDescent="0.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row>
    <row r="861" spans="1:43" x14ac:dyDescent="0.3">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row>
    <row r="862" spans="1:43" x14ac:dyDescent="0.3">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row>
    <row r="863" spans="1:43" x14ac:dyDescent="0.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row>
    <row r="864" spans="1:43" x14ac:dyDescent="0.3">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row>
    <row r="865" spans="1:43" x14ac:dyDescent="0.3">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row>
    <row r="866" spans="1:43" x14ac:dyDescent="0.3">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row>
    <row r="867" spans="1:43" x14ac:dyDescent="0.3">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row>
    <row r="868" spans="1:43" x14ac:dyDescent="0.3">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row>
    <row r="869" spans="1:43" x14ac:dyDescent="0.3">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row>
    <row r="870" spans="1:43" x14ac:dyDescent="0.3">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row>
    <row r="871" spans="1:43" x14ac:dyDescent="0.3">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row>
    <row r="872" spans="1:43" x14ac:dyDescent="0.3">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row>
    <row r="873" spans="1:43" x14ac:dyDescent="0.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row>
    <row r="874" spans="1:43" x14ac:dyDescent="0.3">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row>
    <row r="875" spans="1:43" x14ac:dyDescent="0.3">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row>
    <row r="876" spans="1:43" x14ac:dyDescent="0.3">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row>
    <row r="877" spans="1:43" x14ac:dyDescent="0.3">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row>
    <row r="878" spans="1:43" x14ac:dyDescent="0.3">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row>
    <row r="879" spans="1:43" x14ac:dyDescent="0.3">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row>
    <row r="880" spans="1:43" x14ac:dyDescent="0.3">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row>
    <row r="881" spans="1:43" x14ac:dyDescent="0.3">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row>
    <row r="882" spans="1:43" x14ac:dyDescent="0.3">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row>
    <row r="883" spans="1:43" x14ac:dyDescent="0.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row>
    <row r="884" spans="1:43" x14ac:dyDescent="0.3">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row>
    <row r="885" spans="1:43" x14ac:dyDescent="0.3">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row>
    <row r="886" spans="1:43" x14ac:dyDescent="0.3">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row>
    <row r="887" spans="1:43" x14ac:dyDescent="0.3">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row>
    <row r="888" spans="1:43" x14ac:dyDescent="0.3">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row>
    <row r="889" spans="1:43" x14ac:dyDescent="0.3">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row>
    <row r="890" spans="1:43" x14ac:dyDescent="0.3">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row>
    <row r="891" spans="1:43" x14ac:dyDescent="0.3">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row>
    <row r="892" spans="1:43" x14ac:dyDescent="0.3">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row>
    <row r="893" spans="1:43" x14ac:dyDescent="0.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row>
    <row r="894" spans="1:43" x14ac:dyDescent="0.3">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row>
    <row r="895" spans="1:43" x14ac:dyDescent="0.3">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row>
    <row r="896" spans="1:43" x14ac:dyDescent="0.3">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row>
    <row r="897" spans="1:43" x14ac:dyDescent="0.3">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row>
    <row r="898" spans="1:43" x14ac:dyDescent="0.3">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row>
    <row r="899" spans="1:43" x14ac:dyDescent="0.3">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row>
    <row r="900" spans="1:43" x14ac:dyDescent="0.3">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row>
    <row r="901" spans="1:43" x14ac:dyDescent="0.3">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row>
    <row r="902" spans="1:43" x14ac:dyDescent="0.3">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row>
    <row r="903" spans="1:43" x14ac:dyDescent="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row>
    <row r="904" spans="1:43" x14ac:dyDescent="0.3">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row>
    <row r="905" spans="1:43" x14ac:dyDescent="0.3">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row>
    <row r="906" spans="1:43" x14ac:dyDescent="0.3">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row>
    <row r="907" spans="1:43" x14ac:dyDescent="0.3">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row>
    <row r="908" spans="1:43" x14ac:dyDescent="0.3">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row>
    <row r="909" spans="1:43" x14ac:dyDescent="0.3">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row>
    <row r="910" spans="1:43" x14ac:dyDescent="0.3">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row>
    <row r="911" spans="1:43" x14ac:dyDescent="0.3">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row>
    <row r="912" spans="1:43" x14ac:dyDescent="0.3">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row>
    <row r="913" spans="1:43" x14ac:dyDescent="0.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row>
    <row r="914" spans="1:43" x14ac:dyDescent="0.3">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row>
    <row r="915" spans="1:43" x14ac:dyDescent="0.3">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row>
    <row r="916" spans="1:43" x14ac:dyDescent="0.3">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row>
    <row r="917" spans="1:43" x14ac:dyDescent="0.3">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row>
    <row r="918" spans="1:43" x14ac:dyDescent="0.3">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row>
    <row r="919" spans="1:43" x14ac:dyDescent="0.3">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row>
    <row r="920" spans="1:43" x14ac:dyDescent="0.3">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row>
    <row r="921" spans="1:43" x14ac:dyDescent="0.3">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row>
    <row r="922" spans="1:43" x14ac:dyDescent="0.3">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row>
    <row r="923" spans="1:43" x14ac:dyDescent="0.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row>
    <row r="924" spans="1:43" x14ac:dyDescent="0.3">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row>
    <row r="925" spans="1:43" x14ac:dyDescent="0.3">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row>
    <row r="926" spans="1:43" x14ac:dyDescent="0.3">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row>
    <row r="927" spans="1:43" x14ac:dyDescent="0.3">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row>
    <row r="928" spans="1:43" x14ac:dyDescent="0.3">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row>
    <row r="929" spans="1:43" x14ac:dyDescent="0.3">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row>
    <row r="930" spans="1:43" x14ac:dyDescent="0.3">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row>
    <row r="931" spans="1:43" x14ac:dyDescent="0.3">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row>
    <row r="932" spans="1:43" x14ac:dyDescent="0.3">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row>
    <row r="933" spans="1:43" x14ac:dyDescent="0.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row>
    <row r="934" spans="1:43" x14ac:dyDescent="0.3">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row>
    <row r="935" spans="1:43" x14ac:dyDescent="0.3">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row>
    <row r="936" spans="1:43" x14ac:dyDescent="0.3">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row>
    <row r="937" spans="1:43" x14ac:dyDescent="0.3">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row>
    <row r="938" spans="1:43" x14ac:dyDescent="0.3">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row>
    <row r="939" spans="1:43" x14ac:dyDescent="0.3">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row>
    <row r="940" spans="1:43" x14ac:dyDescent="0.3">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row>
    <row r="941" spans="1:43" x14ac:dyDescent="0.3">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row>
    <row r="942" spans="1:43" x14ac:dyDescent="0.3">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row>
    <row r="943" spans="1:43" x14ac:dyDescent="0.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row>
    <row r="944" spans="1:43" x14ac:dyDescent="0.3">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row>
    <row r="945" spans="1:43" x14ac:dyDescent="0.3">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row>
    <row r="946" spans="1:43" x14ac:dyDescent="0.3">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row>
    <row r="947" spans="1:43" x14ac:dyDescent="0.3">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row>
    <row r="948" spans="1:43" x14ac:dyDescent="0.3">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row>
    <row r="949" spans="1:43" x14ac:dyDescent="0.3">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row>
    <row r="950" spans="1:43" x14ac:dyDescent="0.3">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row>
    <row r="951" spans="1:43" x14ac:dyDescent="0.3">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Population by country</vt:lpstr>
      <vt:lpstr>Vaccination rate by country</vt:lpstr>
      <vt:lpstr>Population density by country</vt:lpstr>
      <vt:lpstr>Dataset</vt:lpstr>
      <vt:lpstr>KPI</vt:lpstr>
      <vt:lpstr>COVID Cases Trend</vt:lpstr>
      <vt:lpstr>Vaccination Trend</vt:lpstr>
      <vt:lpstr>Top 10 Countries by Cases</vt:lpstr>
      <vt:lpstr>Top 10 Countries by Deaths</vt:lpstr>
      <vt:lpstr>Recovery vs Deaths</vt:lpstr>
      <vt:lpstr>GDP vs Population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More Prachi Balasaheb</cp:lastModifiedBy>
  <dcterms:created xsi:type="dcterms:W3CDTF">2026-06-05T12:41:05Z</dcterms:created>
  <dcterms:modified xsi:type="dcterms:W3CDTF">2026-06-07T06:34:03Z</dcterms:modified>
</cp:coreProperties>
</file>